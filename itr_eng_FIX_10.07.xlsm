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worksheets/sheet6.xml" ContentType="application/vnd.openxmlformats-officedocument.spreadsheetml.worksheet+xml"/>
  <Override PartName="/xl/activeX/activeX5.xml" ContentType="application/vnd.ms-office.activeX+xml"/>
  <Override PartName="/xl/activeX/activeX6.xml" ContentType="application/vnd.ms-office.activeX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ЭтаКнига" defaultThemeVersion="124226"/>
  <bookViews>
    <workbookView xWindow="480" yWindow="135" windowWidth="18195" windowHeight="11055"/>
  </bookViews>
  <sheets>
    <sheet name="IRT" sheetId="1" r:id="rId1"/>
    <sheet name="report" sheetId="5" r:id="rId2"/>
    <sheet name="headlist" sheetId="8" r:id="rId3"/>
    <sheet name="data" sheetId="2" r:id="rId4"/>
    <sheet name="DKK" sheetId="6" state="hidden" r:id="rId5"/>
    <sheet name="Лист1" sheetId="7" state="hidden" r:id="rId6"/>
  </sheets>
  <functionGroups/>
  <definedNames>
    <definedName name="_1_DKK_EUR_1" localSheetId="4">DKK!$A$1:$A$295</definedName>
    <definedName name="_1_DKK_EUR_2" localSheetId="4">DKK!$A$1:$A$295</definedName>
    <definedName name="_xlnm._FilterDatabase" localSheetId="3" hidden="1">data!$A$1:$L$206</definedName>
    <definedName name="_xlnm._FilterDatabase" localSheetId="1" hidden="1">report!$A$1:$E$209</definedName>
  </definedNames>
  <calcPr calcId="124519" refMode="R1C1"/>
</workbook>
</file>

<file path=xl/calcChain.xml><?xml version="1.0" encoding="utf-8"?>
<calcChain xmlns="http://schemas.openxmlformats.org/spreadsheetml/2006/main">
  <c r="D7" i="1"/>
  <c r="E7"/>
  <c r="F7"/>
  <c r="G7"/>
  <c r="H7"/>
  <c r="D8"/>
  <c r="E8"/>
  <c r="F8"/>
  <c r="G8"/>
  <c r="H8"/>
  <c r="D9"/>
  <c r="E9"/>
  <c r="F9"/>
  <c r="G9"/>
  <c r="H9"/>
  <c r="D10"/>
  <c r="E10"/>
  <c r="F10"/>
  <c r="G10"/>
  <c r="H10"/>
  <c r="D11"/>
  <c r="E11"/>
  <c r="F11"/>
  <c r="G11"/>
  <c r="H11"/>
  <c r="D12"/>
  <c r="E12"/>
  <c r="F12"/>
  <c r="G12"/>
  <c r="H12"/>
  <c r="D13"/>
  <c r="E13"/>
  <c r="F13"/>
  <c r="G13"/>
  <c r="H13"/>
  <c r="D14"/>
  <c r="E14"/>
  <c r="F14"/>
  <c r="G14"/>
  <c r="H14"/>
  <c r="D15"/>
  <c r="E15"/>
  <c r="F15"/>
  <c r="G15"/>
  <c r="H15"/>
  <c r="D16"/>
  <c r="E16"/>
  <c r="F16"/>
  <c r="G16"/>
  <c r="H16"/>
  <c r="D17"/>
  <c r="E17"/>
  <c r="F17"/>
  <c r="G17"/>
  <c r="H17"/>
  <c r="D18"/>
  <c r="E18"/>
  <c r="F18"/>
  <c r="G18"/>
  <c r="H18"/>
  <c r="D19"/>
  <c r="E19"/>
  <c r="F19"/>
  <c r="G19"/>
  <c r="H19"/>
  <c r="D20"/>
  <c r="E20"/>
  <c r="F20"/>
  <c r="G20"/>
  <c r="H20"/>
  <c r="D21"/>
  <c r="E21"/>
  <c r="F21"/>
  <c r="G21"/>
  <c r="H21"/>
  <c r="D22"/>
  <c r="E22"/>
  <c r="F22"/>
  <c r="G22"/>
  <c r="H22"/>
  <c r="D23"/>
  <c r="E23"/>
  <c r="F23"/>
  <c r="G23"/>
  <c r="H23"/>
  <c r="E6"/>
  <c r="F6"/>
  <c r="G6"/>
  <c r="H6"/>
  <c r="I7"/>
  <c r="I8"/>
  <c r="I9"/>
  <c r="I10"/>
  <c r="I11"/>
  <c r="I12"/>
  <c r="I13"/>
  <c r="I14"/>
  <c r="I15"/>
  <c r="I16"/>
  <c r="I17"/>
  <c r="I18"/>
  <c r="I19"/>
  <c r="I20"/>
  <c r="I21"/>
  <c r="I22"/>
  <c r="I23"/>
  <c r="I6"/>
  <c r="D6"/>
</calcChain>
</file>

<file path=xl/connections.xml><?xml version="1.0" encoding="utf-8"?>
<connections xmlns="http://schemas.openxmlformats.org/spreadsheetml/2006/main">
  <connection id="1" name="Подключение" type="4" refreshedVersion="4" background="1" refreshOnLoad="1" saveData="1">
    <webPr sourceData="1" parsePre="1" consecutive="1" xl2000="1" url="https://finance.rambler.ru/calculators/converter/1-DKK-EUR"/>
  </connection>
  <connection id="2" name="Подключение1" type="4" refreshedVersion="4" background="1" refreshOnLoad="1" saveData="1">
    <webPr sourceData="1" parsePre="1" consecutive="1" xl2000="1" url="https://finance.rambler.ru/calculators/converter/1-DKK-EUR"/>
  </connection>
</connections>
</file>

<file path=xl/sharedStrings.xml><?xml version="1.0" encoding="utf-8"?>
<sst xmlns="http://schemas.openxmlformats.org/spreadsheetml/2006/main" count="1827" uniqueCount="352">
  <si>
    <t>invoice date</t>
  </si>
  <si>
    <t>Invoice due date</t>
  </si>
  <si>
    <t xml:space="preserve">Vendor </t>
  </si>
  <si>
    <t>Invoice no</t>
  </si>
  <si>
    <t>Amount DKK</t>
  </si>
  <si>
    <t>Amount EUR</t>
  </si>
  <si>
    <t>Initials</t>
  </si>
  <si>
    <t>Paid by</t>
  </si>
  <si>
    <t>Vendor 6</t>
  </si>
  <si>
    <t>NB</t>
  </si>
  <si>
    <t>Vendor 1</t>
  </si>
  <si>
    <t>500985101030</t>
  </si>
  <si>
    <t>Vendor 9</t>
  </si>
  <si>
    <t>0455300</t>
  </si>
  <si>
    <t>HT</t>
  </si>
  <si>
    <t>LH</t>
  </si>
  <si>
    <t>0455302</t>
  </si>
  <si>
    <t xml:space="preserve">Vendor 35 </t>
  </si>
  <si>
    <t>Vendor 39</t>
  </si>
  <si>
    <t>(S)FKE-00000100/19/EXK</t>
  </si>
  <si>
    <t xml:space="preserve">KREDITNOTA LH </t>
  </si>
  <si>
    <t>(S)FSE-00001220/19/EX</t>
  </si>
  <si>
    <t>Vendor 27</t>
  </si>
  <si>
    <t>DexEu/19/12/0162/FS</t>
  </si>
  <si>
    <t>DexEu/19/12/0161/FS</t>
  </si>
  <si>
    <t>Vendor 19 FISCH</t>
  </si>
  <si>
    <t>VRG0270561</t>
  </si>
  <si>
    <t>VRG0270560</t>
  </si>
  <si>
    <t>Vendor 37</t>
  </si>
  <si>
    <t>Vendor 29</t>
  </si>
  <si>
    <t>VF1920607</t>
  </si>
  <si>
    <t>Vendor 17</t>
  </si>
  <si>
    <t>VFC+19-01824</t>
  </si>
  <si>
    <t>Vendor 18</t>
  </si>
  <si>
    <t>Vendor 36</t>
  </si>
  <si>
    <t>Løb. Mån. +45dage</t>
  </si>
  <si>
    <t xml:space="preserve">Vendor 16 </t>
  </si>
  <si>
    <t>Vendor 31</t>
  </si>
  <si>
    <t xml:space="preserve">Vendor 10SEN </t>
  </si>
  <si>
    <t>PZ</t>
  </si>
  <si>
    <t>Vendor 33</t>
  </si>
  <si>
    <t>VF1920838</t>
  </si>
  <si>
    <t>AJ</t>
  </si>
  <si>
    <t>0455400</t>
  </si>
  <si>
    <t>0454996</t>
  </si>
  <si>
    <t>0454983</t>
  </si>
  <si>
    <t>Vendor 41</t>
  </si>
  <si>
    <t>EXCELENT</t>
  </si>
  <si>
    <t>SCHMIDT</t>
  </si>
  <si>
    <t>Vendor 22</t>
  </si>
  <si>
    <t>Vendor 5</t>
  </si>
  <si>
    <t>YOUSEE</t>
  </si>
  <si>
    <t>IPNORDIC</t>
  </si>
  <si>
    <t>DRIKPORTVIN</t>
  </si>
  <si>
    <t>Vendor 4</t>
  </si>
  <si>
    <t>FS/2019/12/308/WDTUE</t>
  </si>
  <si>
    <t>FS/2019/12/309/WDTUE</t>
  </si>
  <si>
    <t>0454487</t>
  </si>
  <si>
    <t>VRG0269854</t>
  </si>
  <si>
    <t>vendor xx</t>
  </si>
  <si>
    <t>0454713</t>
  </si>
  <si>
    <t>0454875</t>
  </si>
  <si>
    <t>FS/2019/12/352/WDTUE</t>
  </si>
  <si>
    <t>FS/2019/12/351/WDTUE</t>
  </si>
  <si>
    <t>0454835</t>
  </si>
  <si>
    <t>0454270</t>
  </si>
  <si>
    <t>-</t>
  </si>
  <si>
    <t>LH KREDITNOTA</t>
  </si>
  <si>
    <t>Vendor 23</t>
  </si>
  <si>
    <t>VF2000206</t>
  </si>
  <si>
    <t>Vendor 7</t>
  </si>
  <si>
    <t>0455660</t>
  </si>
  <si>
    <t xml:space="preserve">Topdanmark </t>
  </si>
  <si>
    <t>BUDGET123</t>
  </si>
  <si>
    <t xml:space="preserve">FOOD FROM DK </t>
  </si>
  <si>
    <t xml:space="preserve">Vendor 22 </t>
  </si>
  <si>
    <t>0456070</t>
  </si>
  <si>
    <t>VRG0270708</t>
  </si>
  <si>
    <t>VRG0270709</t>
  </si>
  <si>
    <t>VRG0270710</t>
  </si>
  <si>
    <t>VRG0270711</t>
  </si>
  <si>
    <t>VRG0270702</t>
  </si>
  <si>
    <t>VRG0270704</t>
  </si>
  <si>
    <t>VRG0270703</t>
  </si>
  <si>
    <t>0456028</t>
  </si>
  <si>
    <t>0455949</t>
  </si>
  <si>
    <t>0456347</t>
  </si>
  <si>
    <t xml:space="preserve">AJ </t>
  </si>
  <si>
    <t>0456272</t>
  </si>
  <si>
    <t>0456317</t>
  </si>
  <si>
    <t>0456346</t>
  </si>
  <si>
    <t>VFC+20-00004</t>
  </si>
  <si>
    <t>Vendor 12</t>
  </si>
  <si>
    <t>FS/2020/01/75/WDTUE</t>
  </si>
  <si>
    <t>Vendor 15</t>
  </si>
  <si>
    <t>00457873</t>
  </si>
  <si>
    <t>00458615</t>
  </si>
  <si>
    <t>0456547</t>
  </si>
  <si>
    <t>Løvbjerg</t>
  </si>
  <si>
    <t>0456470</t>
  </si>
  <si>
    <t>VRG0271361</t>
  </si>
  <si>
    <t>VRG0271362</t>
  </si>
  <si>
    <t>VRG0271363</t>
  </si>
  <si>
    <t>VRG0271359</t>
  </si>
  <si>
    <t>VRG0271364</t>
  </si>
  <si>
    <t>VRG0271360</t>
  </si>
  <si>
    <t>AA</t>
  </si>
  <si>
    <t>FS/2020/01/112/WDTUE</t>
  </si>
  <si>
    <t>1 DEL 14/01/2020</t>
  </si>
  <si>
    <t>19,195,50</t>
  </si>
  <si>
    <t>AXEL FOOD</t>
  </si>
  <si>
    <t>6/001</t>
  </si>
  <si>
    <t>FS/2020/01/165/WDTUE</t>
  </si>
  <si>
    <t>AQUA PRI</t>
  </si>
  <si>
    <t xml:space="preserve">Vendor 8 </t>
  </si>
  <si>
    <t>004562254</t>
  </si>
  <si>
    <t>DexEu/20/01/0113/FS</t>
  </si>
  <si>
    <t>DexEu/20/01/0114/FS</t>
  </si>
  <si>
    <t>DexEu/20/01/0125/FS</t>
  </si>
  <si>
    <t>DexEu/20/01/0126/FS</t>
  </si>
  <si>
    <t>(S)FSE-00000002/20/ETR</t>
  </si>
  <si>
    <t>(S)FSE-00000004/20/ETR</t>
  </si>
  <si>
    <t>(S)FSE-00000003/20/ETR</t>
  </si>
  <si>
    <t>8S)FSE-00000005/20/ETR</t>
  </si>
  <si>
    <t>VAREFAKTA</t>
  </si>
  <si>
    <t>FS/20200/01/19/WDTUE</t>
  </si>
  <si>
    <t>0457540</t>
  </si>
  <si>
    <t>VRG0271655</t>
  </si>
  <si>
    <t>VRG0271656</t>
  </si>
  <si>
    <t>VRG0271870</t>
  </si>
  <si>
    <t>VRG0271871</t>
  </si>
  <si>
    <t>0457833</t>
  </si>
  <si>
    <t>00462448</t>
  </si>
  <si>
    <t>SK</t>
  </si>
  <si>
    <t>FS/2020/01/227/WDTUE</t>
  </si>
  <si>
    <t xml:space="preserve">LH </t>
  </si>
  <si>
    <t>4569455900069</t>
  </si>
  <si>
    <t>Løb. Mån. +8dage</t>
  </si>
  <si>
    <t>0458584</t>
  </si>
  <si>
    <t>FS/2020/01/315/WDTUE</t>
  </si>
  <si>
    <t xml:space="preserve">Ещё </t>
  </si>
  <si>
    <t>рамблер без рекламы</t>
  </si>
  <si>
    <t>Найти</t>
  </si>
  <si>
    <t xml:space="preserve">Экономика Компании Рынки Личный счет Недвижимость Курсы валют Конвертер валют Курс доллара Курс евро Прогноз курса валют Выгодный курс обмена Кросс-курс </t>
  </si>
  <si>
    <t>читайте рамблер без рекламы</t>
  </si>
  <si>
    <t xml:space="preserve">Все новости </t>
  </si>
  <si>
    <t xml:space="preserve">Финансы </t>
  </si>
  <si>
    <t xml:space="preserve">Женский </t>
  </si>
  <si>
    <t xml:space="preserve">Кино </t>
  </si>
  <si>
    <t xml:space="preserve">Спорт </t>
  </si>
  <si>
    <t xml:space="preserve">Авто </t>
  </si>
  <si>
    <t xml:space="preserve">Здоровье </t>
  </si>
  <si>
    <t xml:space="preserve">Путешествия </t>
  </si>
  <si>
    <t xml:space="preserve">Субботний </t>
  </si>
  <si>
    <t>Игры</t>
  </si>
  <si>
    <t xml:space="preserve">Курсы валют </t>
  </si>
  <si>
    <t>ЦБ</t>
  </si>
  <si>
    <t>$</t>
  </si>
  <si>
    <t>70.7520</t>
  </si>
  <si>
    <t>–0.3492</t>
  </si>
  <si>
    <t>€</t>
  </si>
  <si>
    <t>78.5489</t>
  </si>
  <si>
    <t>+0.2878</t>
  </si>
  <si>
    <t>ММВБ</t>
  </si>
  <si>
    <t>70.1425</t>
  </si>
  <si>
    <t>–0.2100</t>
  </si>
  <si>
    <t>77.9300</t>
  </si>
  <si>
    <t>–0.1475</t>
  </si>
  <si>
    <t>Forex</t>
  </si>
  <si>
    <t>Лучший курс обмена</t>
  </si>
  <si>
    <t>Покупка</t>
  </si>
  <si>
    <t>Продажа</t>
  </si>
  <si>
    <t xml:space="preserve">Прогноз </t>
  </si>
  <si>
    <t>Индексы и котировки Brent</t>
  </si>
  <si>
    <t xml:space="preserve">37.63 </t>
  </si>
  <si>
    <t>+0.05 Золото</t>
  </si>
  <si>
    <t xml:space="preserve">1219.76 </t>
  </si>
  <si>
    <t xml:space="preserve">+0.25 </t>
  </si>
  <si>
    <t xml:space="preserve">Динамика валют </t>
  </si>
  <si>
    <t>EUR / USD</t>
  </si>
  <si>
    <t>1.0914</t>
  </si>
  <si>
    <t>1 датская крона в евро сегодня</t>
  </si>
  <si>
    <t>1 датская крона в евро</t>
  </si>
  <si>
    <t>Конвертер валют</t>
  </si>
  <si>
    <t>1 евро в датских кронах</t>
  </si>
  <si>
    <t>ЦБ РФ на 30.05.2020</t>
  </si>
  <si>
    <t>DKK</t>
  </si>
  <si>
    <t>0.1341</t>
  </si>
  <si>
    <t>EUR</t>
  </si>
  <si>
    <t>Динамика курса 1 датской кроны в евро</t>
  </si>
  <si>
    <t>Таблица изменений стоимости 1 датской кроны в евро</t>
  </si>
  <si>
    <t>Дата</t>
  </si>
  <si>
    <t>Курс ЦБ DKK/EUR</t>
  </si>
  <si>
    <t>Результат DKK</t>
  </si>
  <si>
    <t>Изменения</t>
  </si>
  <si>
    <t>%</t>
  </si>
  <si>
    <t>+0.0002</t>
  </si>
  <si>
    <t>+0.0013%</t>
  </si>
  <si>
    <t>0.1340</t>
  </si>
  <si>
    <t>–0.0002</t>
  </si>
  <si>
    <t>–0.0014%</t>
  </si>
  <si>
    <t>–0.0000</t>
  </si>
  <si>
    <t>–0.0002%</t>
  </si>
  <si>
    <t>0.1342</t>
  </si>
  <si>
    <t>+0.0000</t>
  </si>
  <si>
    <t>+0.0002%</t>
  </si>
  <si>
    <t xml:space="preserve">1 датская крона в евро </t>
  </si>
  <si>
    <t xml:space="preserve">2 датские кроны в евро </t>
  </si>
  <si>
    <t xml:space="preserve">3 датские кроны в евро </t>
  </si>
  <si>
    <t xml:space="preserve">4 датские кроны в евро </t>
  </si>
  <si>
    <t xml:space="preserve">5 датских крон в евро </t>
  </si>
  <si>
    <t>0.2683</t>
  </si>
  <si>
    <t>0.4024</t>
  </si>
  <si>
    <t>0.5366</t>
  </si>
  <si>
    <t>0.6707</t>
  </si>
  <si>
    <t>Новости партнеров</t>
  </si>
  <si>
    <t>Видео</t>
  </si>
  <si>
    <t>Мишустин активировал выполнение поручений Путина</t>
  </si>
  <si>
    <t xml:space="preserve">Экономика Другое </t>
  </si>
  <si>
    <t>Замороженные пенсии россиян вырастут</t>
  </si>
  <si>
    <t xml:space="preserve">Личный счет Недвижимость </t>
  </si>
  <si>
    <t>В Россию ввезли рекордную сумму валюты</t>
  </si>
  <si>
    <t xml:space="preserve">Рынки Экономика </t>
  </si>
  <si>
    <t>В мире появится первый триллионер</t>
  </si>
  <si>
    <t xml:space="preserve">Компании </t>
  </si>
  <si>
    <t>Польша нанесла удар по «Северному потоку-2»</t>
  </si>
  <si>
    <t xml:space="preserve">Компании Экономика </t>
  </si>
  <si>
    <t>Банки расстроили россиян после решения ЦБ</t>
  </si>
  <si>
    <t xml:space="preserve">Личный счет </t>
  </si>
  <si>
    <t>Нефтяники стали продавать бензин в убыток</t>
  </si>
  <si>
    <t xml:space="preserve">Экономика Компании </t>
  </si>
  <si>
    <t>Как изменится жизнь россиян с 1 июня</t>
  </si>
  <si>
    <t xml:space="preserve">Экономика </t>
  </si>
  <si>
    <t>Мишустин предложил помощь безработным россиянам</t>
  </si>
  <si>
    <t>Украинцам повысят цены на газ ради денег МВФ</t>
  </si>
  <si>
    <t xml:space="preserve">Рынки </t>
  </si>
  <si>
    <t xml:space="preserve">Больше видео </t>
  </si>
  <si>
    <t>18+</t>
  </si>
  <si>
    <t>Все новости</t>
  </si>
  <si>
    <t>В мире</t>
  </si>
  <si>
    <t>Новости Москвы</t>
  </si>
  <si>
    <t>Политика</t>
  </si>
  <si>
    <t>Армия</t>
  </si>
  <si>
    <t>Общество</t>
  </si>
  <si>
    <t>Происшествия</t>
  </si>
  <si>
    <t>Наука и техника</t>
  </si>
  <si>
    <t>Шоу-бизнес</t>
  </si>
  <si>
    <t>Статьи</t>
  </si>
  <si>
    <t>Фото</t>
  </si>
  <si>
    <t>Тесты</t>
  </si>
  <si>
    <t>Ещё Свернуть</t>
  </si>
  <si>
    <t>Финансы</t>
  </si>
  <si>
    <t>Экономика</t>
  </si>
  <si>
    <t>Компании</t>
  </si>
  <si>
    <t>Рынки</t>
  </si>
  <si>
    <t>Личный счет</t>
  </si>
  <si>
    <t>Недвижимость</t>
  </si>
  <si>
    <t>Курсы валют</t>
  </si>
  <si>
    <t>Курс доллара</t>
  </si>
  <si>
    <t>Курс евро</t>
  </si>
  <si>
    <t>Прогноз курса валют</t>
  </si>
  <si>
    <t>Выгодный курс обмена</t>
  </si>
  <si>
    <t>Кросс-курс</t>
  </si>
  <si>
    <t>Женский</t>
  </si>
  <si>
    <t>Мода</t>
  </si>
  <si>
    <t>Красота</t>
  </si>
  <si>
    <t>Любовь</t>
  </si>
  <si>
    <t>Звёзды</t>
  </si>
  <si>
    <t>Еда</t>
  </si>
  <si>
    <t>Здоровье</t>
  </si>
  <si>
    <t>Психология</t>
  </si>
  <si>
    <t>Дом и сад</t>
  </si>
  <si>
    <t>Дети</t>
  </si>
  <si>
    <t>Кино</t>
  </si>
  <si>
    <t>Фильмы</t>
  </si>
  <si>
    <t>ТВ</t>
  </si>
  <si>
    <t>Сериалы</t>
  </si>
  <si>
    <t>Актеры</t>
  </si>
  <si>
    <t>Спорт</t>
  </si>
  <si>
    <t>Футбол</t>
  </si>
  <si>
    <t>Хоккей</t>
  </si>
  <si>
    <t>Баскетбол</t>
  </si>
  <si>
    <t>Биатлон</t>
  </si>
  <si>
    <t>Автоспорт</t>
  </si>
  <si>
    <t>Фигурное катание</t>
  </si>
  <si>
    <t>Теннис</t>
  </si>
  <si>
    <t>MMA</t>
  </si>
  <si>
    <t>Бокс</t>
  </si>
  <si>
    <t>Шахматы</t>
  </si>
  <si>
    <t>Легкая атлетика</t>
  </si>
  <si>
    <t>Летние виды спорта</t>
  </si>
  <si>
    <t>Зимние виды спорта</t>
  </si>
  <si>
    <t>Авто</t>
  </si>
  <si>
    <t>Автоновости</t>
  </si>
  <si>
    <t>ДТП</t>
  </si>
  <si>
    <t>Тест-драйвы</t>
  </si>
  <si>
    <t>Бортжурнал</t>
  </si>
  <si>
    <t>ПДД</t>
  </si>
  <si>
    <t>Экзамен</t>
  </si>
  <si>
    <t>Субботний</t>
  </si>
  <si>
    <t>Истории</t>
  </si>
  <si>
    <t>Люди</t>
  </si>
  <si>
    <t>Вещи</t>
  </si>
  <si>
    <t>Безумный мир</t>
  </si>
  <si>
    <t>Места</t>
  </si>
  <si>
    <t>Промокоды</t>
  </si>
  <si>
    <t>Wildberries RU</t>
  </si>
  <si>
    <t>Ozon</t>
  </si>
  <si>
    <t>Беру</t>
  </si>
  <si>
    <t>Apteka.ru</t>
  </si>
  <si>
    <t>Aliexpress</t>
  </si>
  <si>
    <t>Доктор</t>
  </si>
  <si>
    <t>Новости</t>
  </si>
  <si>
    <t>Болезни и лекарства</t>
  </si>
  <si>
    <t>Наука</t>
  </si>
  <si>
    <t>ЗОЖ</t>
  </si>
  <si>
    <t>Народная медицина</t>
  </si>
  <si>
    <t>Путешествия</t>
  </si>
  <si>
    <t>Путеводители</t>
  </si>
  <si>
    <t>Гороскопы</t>
  </si>
  <si>
    <t>Сонник</t>
  </si>
  <si>
    <t>Имена</t>
  </si>
  <si>
    <t>Гадания</t>
  </si>
  <si>
    <t>Лунный гороскоп</t>
  </si>
  <si>
    <t>Китайский гороскоп</t>
  </si>
  <si>
    <t>Приметы</t>
  </si>
  <si>
    <t>Игровые новости и видео</t>
  </si>
  <si>
    <t>Игры онлайн</t>
  </si>
  <si>
    <t>Киберспорт</t>
  </si>
  <si>
    <t>© Рамблер, 2020</t>
  </si>
  <si>
    <t>Мобильная версия О проекте Редакционная политика Реклама Помощь Вакансии Пользовательское соглашение</t>
  </si>
  <si>
    <t>Vendor</t>
  </si>
  <si>
    <t>Status</t>
  </si>
  <si>
    <t>unpaid</t>
  </si>
  <si>
    <t>paid</t>
  </si>
  <si>
    <t>69.7351</t>
  </si>
  <si>
    <t>–0.7290</t>
  </si>
  <si>
    <t>77.7030</t>
  </si>
  <si>
    <t>–0.2465</t>
  </si>
  <si>
    <t>69.90</t>
  </si>
  <si>
    <t>70.20</t>
  </si>
  <si>
    <t>77.80</t>
  </si>
  <si>
    <t>78.12</t>
  </si>
  <si>
    <t>08.06 – 15.06</t>
  </si>
  <si>
    <t>71.00</t>
  </si>
  <si>
    <t>78.14</t>
  </si>
  <si>
    <t xml:space="preserve">1742.67 </t>
  </si>
  <si>
    <t>–0.04 РТС</t>
  </si>
  <si>
    <t>1.1144</t>
  </si>
  <si>
    <t>+0.0230</t>
  </si>
  <si>
    <t>Test Vendor123</t>
  </si>
  <si>
    <t>numb</t>
  </si>
</sst>
</file>

<file path=xl/styles.xml><?xml version="1.0" encoding="utf-8"?>
<styleSheet xmlns="http://schemas.openxmlformats.org/spreadsheetml/2006/main">
  <numFmts count="1">
    <numFmt numFmtId="43" formatCode="_-* #,##0.00_р_._-;\-* #,##0.00_р_._-;_-* &quot;-&quot;??_р_._-;_-@_-"/>
  </numFmts>
  <fonts count="7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6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5">
    <xf numFmtId="0" fontId="0" fillId="0" borderId="0" xfId="0"/>
    <xf numFmtId="14" fontId="0" fillId="2" borderId="1" xfId="0" applyNumberFormat="1" applyFill="1" applyBorder="1" applyAlignment="1">
      <alignment horizontal="left" vertical="center"/>
    </xf>
    <xf numFmtId="0" fontId="2" fillId="3" borderId="1" xfId="0" applyFont="1" applyFill="1" applyBorder="1" applyAlignment="1">
      <alignment horizontal="left" vertical="center"/>
    </xf>
    <xf numFmtId="43" fontId="2" fillId="3" borderId="1" xfId="1" applyFont="1" applyFill="1" applyBorder="1" applyAlignment="1">
      <alignment horizontal="left" vertical="center"/>
    </xf>
    <xf numFmtId="0" fontId="0" fillId="4" borderId="1" xfId="0" applyFill="1" applyBorder="1" applyAlignment="1">
      <alignment horizontal="left" vertical="center"/>
    </xf>
    <xf numFmtId="0" fontId="0" fillId="4" borderId="1" xfId="0" applyFill="1" applyBorder="1"/>
    <xf numFmtId="0" fontId="0" fillId="0" borderId="1" xfId="0" applyBorder="1"/>
    <xf numFmtId="14" fontId="0" fillId="5" borderId="1" xfId="0" applyNumberFormat="1" applyFill="1" applyBorder="1" applyAlignment="1">
      <alignment horizontal="left" vertical="center"/>
    </xf>
    <xf numFmtId="0" fontId="0" fillId="5" borderId="1" xfId="0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5" borderId="1" xfId="0" quotePrefix="1" applyFill="1" applyBorder="1" applyAlignment="1">
      <alignment horizontal="left" vertical="center"/>
    </xf>
    <xf numFmtId="0" fontId="0" fillId="5" borderId="0" xfId="0" applyFill="1" applyAlignment="1">
      <alignment horizontal="left" vertical="center"/>
    </xf>
    <xf numFmtId="0" fontId="0" fillId="5" borderId="1" xfId="0" applyFill="1" applyBorder="1"/>
    <xf numFmtId="14" fontId="3" fillId="5" borderId="1" xfId="0" applyNumberFormat="1" applyFont="1" applyFill="1" applyBorder="1" applyAlignment="1">
      <alignment horizontal="left" vertical="center"/>
    </xf>
    <xf numFmtId="0" fontId="3" fillId="5" borderId="1" xfId="0" applyFont="1" applyFill="1" applyBorder="1" applyAlignment="1">
      <alignment horizontal="left" vertical="center"/>
    </xf>
    <xf numFmtId="0" fontId="3" fillId="4" borderId="1" xfId="0" applyFont="1" applyFill="1" applyBorder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3" fillId="4" borderId="1" xfId="0" applyFont="1" applyFill="1" applyBorder="1"/>
    <xf numFmtId="0" fontId="3" fillId="5" borderId="1" xfId="0" applyFont="1" applyFill="1" applyBorder="1"/>
    <xf numFmtId="14" fontId="2" fillId="5" borderId="1" xfId="0" applyNumberFormat="1" applyFont="1" applyFill="1" applyBorder="1" applyAlignment="1">
      <alignment horizontal="left" vertical="center"/>
    </xf>
    <xf numFmtId="14" fontId="0" fillId="5" borderId="0" xfId="0" applyNumberFormat="1" applyFill="1" applyAlignment="1">
      <alignment horizontal="left" vertical="center"/>
    </xf>
    <xf numFmtId="14" fontId="0" fillId="0" borderId="1" xfId="0" applyNumberFormat="1" applyBorder="1" applyAlignment="1">
      <alignment horizontal="left" vertical="center"/>
    </xf>
    <xf numFmtId="0" fontId="0" fillId="0" borderId="1" xfId="0" quotePrefix="1" applyBorder="1" applyAlignment="1">
      <alignment horizontal="left" vertical="center"/>
    </xf>
    <xf numFmtId="0" fontId="0" fillId="5" borderId="0" xfId="0" quotePrefix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4" borderId="0" xfId="0" applyFill="1"/>
    <xf numFmtId="16" fontId="0" fillId="0" borderId="0" xfId="0" applyNumberFormat="1"/>
    <xf numFmtId="22" fontId="0" fillId="0" borderId="0" xfId="0" applyNumberFormat="1"/>
    <xf numFmtId="17" fontId="0" fillId="0" borderId="0" xfId="0" applyNumberFormat="1"/>
    <xf numFmtId="20" fontId="0" fillId="0" borderId="0" xfId="0" applyNumberFormat="1"/>
    <xf numFmtId="14" fontId="0" fillId="0" borderId="0" xfId="0" applyNumberFormat="1"/>
    <xf numFmtId="0" fontId="2" fillId="3" borderId="1" xfId="0" applyFont="1" applyFill="1" applyBorder="1" applyAlignment="1">
      <alignment horizontal="center" vertical="center"/>
    </xf>
    <xf numFmtId="43" fontId="2" fillId="3" borderId="1" xfId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6" borderId="0" xfId="0" applyFill="1"/>
    <xf numFmtId="16" fontId="0" fillId="6" borderId="0" xfId="0" applyNumberFormat="1" applyFill="1"/>
    <xf numFmtId="0" fontId="0" fillId="6" borderId="0" xfId="0" applyFill="1" applyAlignment="1">
      <alignment horizontal="center"/>
    </xf>
    <xf numFmtId="14" fontId="0" fillId="6" borderId="0" xfId="0" applyNumberFormat="1" applyFill="1" applyAlignment="1">
      <alignment horizontal="center"/>
    </xf>
    <xf numFmtId="22" fontId="0" fillId="6" borderId="0" xfId="0" applyNumberFormat="1" applyFill="1"/>
    <xf numFmtId="0" fontId="4" fillId="7" borderId="1" xfId="0" applyFont="1" applyFill="1" applyBorder="1" applyAlignment="1">
      <alignment horizontal="center"/>
    </xf>
    <xf numFmtId="14" fontId="4" fillId="7" borderId="1" xfId="0" applyNumberFormat="1" applyFont="1" applyFill="1" applyBorder="1" applyAlignment="1">
      <alignment horizontal="center"/>
    </xf>
    <xf numFmtId="0" fontId="5" fillId="7" borderId="2" xfId="0" applyFont="1" applyFill="1" applyBorder="1" applyAlignment="1">
      <alignment horizontal="center" vertical="center"/>
    </xf>
    <xf numFmtId="43" fontId="5" fillId="7" borderId="3" xfId="1" applyFont="1" applyFill="1" applyBorder="1" applyAlignment="1">
      <alignment horizontal="center" vertical="center"/>
    </xf>
    <xf numFmtId="14" fontId="5" fillId="7" borderId="3" xfId="0" applyNumberFormat="1" applyFont="1" applyFill="1" applyBorder="1" applyAlignment="1">
      <alignment horizontal="center" vertical="center"/>
    </xf>
    <xf numFmtId="14" fontId="5" fillId="7" borderId="4" xfId="0" applyNumberFormat="1" applyFont="1" applyFill="1" applyBorder="1" applyAlignment="1">
      <alignment horizontal="center" vertical="center"/>
    </xf>
    <xf numFmtId="0" fontId="4" fillId="0" borderId="5" xfId="0" applyFont="1" applyBorder="1" applyAlignment="1">
      <alignment horizontal="center"/>
    </xf>
    <xf numFmtId="0" fontId="0" fillId="6" borderId="0" xfId="0" applyNumberFormat="1" applyFill="1" applyAlignment="1">
      <alignment horizontal="center"/>
    </xf>
    <xf numFmtId="43" fontId="0" fillId="0" borderId="0" xfId="1" applyFont="1" applyAlignment="1">
      <alignment horizontal="center"/>
    </xf>
    <xf numFmtId="43" fontId="0" fillId="0" borderId="0" xfId="1" applyFont="1"/>
    <xf numFmtId="43" fontId="0" fillId="6" borderId="0" xfId="1" applyFont="1" applyFill="1" applyAlignment="1">
      <alignment horizontal="center"/>
    </xf>
    <xf numFmtId="43" fontId="4" fillId="7" borderId="1" xfId="1" applyFont="1" applyFill="1" applyBorder="1" applyAlignment="1">
      <alignment horizontal="center"/>
    </xf>
    <xf numFmtId="14" fontId="4" fillId="0" borderId="5" xfId="0" applyNumberFormat="1" applyFont="1" applyBorder="1" applyAlignment="1">
      <alignment horizontal="center"/>
    </xf>
  </cellXfs>
  <cellStyles count="2">
    <cellStyle name="Обычный" xfId="0" builtinId="0"/>
    <cellStyle name="Финансовый" xfId="1" builtinId="3"/>
  </cellStyles>
  <dxfs count="2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DisplayStyle" ax:value="5"/>
  <ax:ocxPr ax:name="Size" ax:value="1826;741"/>
  <ax:ocxPr ax:name="Value" ax:value="1"/>
  <ax:ocxPr ax:name="Caption" ax:value="all"/>
  <ax:ocxPr ax:name="GroupName" ax:value="IRT"/>
  <ax:ocxPr ax:name="FontName" ax:value="Calibri"/>
  <ax:ocxPr ax:name="FontHeight" ax:value="225"/>
  <ax:ocxPr ax:name="FontCharSet" ax:value="204"/>
  <ax:ocxPr ax:name="FontPitchAndFamily" ax:value="2"/>
</ax:ocx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DisplayStyle" ax:value="5"/>
  <ax:ocxPr ax:name="Size" ax:value="1826;741"/>
  <ax:ocxPr ax:name="Value" ax:value="0"/>
  <ax:ocxPr ax:name="Caption" ax:value="u n u unpaid"/>
  <ax:ocxPr ax:name="GroupName" ax:value="IRT"/>
  <ax:ocxPr ax:name="FontName" ax:value="Calibri"/>
  <ax:ocxPr ax:name="FontHeight" ax:value="225"/>
  <ax:ocxPr ax:name="FontCharSet" ax:value="204"/>
  <ax:ocxPr ax:name="FontPitchAndFamily" ax:value="2"/>
</ax:ocx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DisplayStyle" ax:value="5"/>
  <ax:ocxPr ax:name="Size" ax:value="1799;741"/>
  <ax:ocxPr ax:name="Value" ax:value="0"/>
  <ax:ocxPr ax:name="Caption" ax:value="paid"/>
  <ax:ocxPr ax:name="GroupName" ax:value="IRT"/>
  <ax:ocxPr ax:name="FontName" ax:value="Calibri"/>
  <ax:ocxPr ax:name="FontHeight" ax:value="225"/>
  <ax:ocxPr ax:name="FontCharSet" ax:value="204"/>
  <ax:ocxPr ax:name="FontPitchAndFamily" ax:value="2"/>
</ax:ocx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PropertyBag">
  <ax:ocxPr ax:name="VariousPropertyBits" ax:value="746604571"/>
  <ax:ocxPr ax:name="Size" ax:value="3228;847"/>
  <ax:ocxPr ax:name="Value" ax:value="22.01.2020"/>
  <ax:ocxPr ax:name="FontName" ax:value="Calibri"/>
  <ax:ocxPr ax:name="FontHeight" ax:value="225"/>
  <ax:ocxPr ax:name="FontCharSet" ax:value="204"/>
  <ax:ocxPr ax:name="FontPitchAndFamily" ax:value="2"/>
</ax:ocx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PropertyBag">
  <ax:ocxPr ax:name="VariousPropertyBits" ax:value="746604571"/>
  <ax:ocxPr ax:name="Size" ax:value="3228;847"/>
  <ax:ocxPr ax:name="Value" ax:value="21.01.2020"/>
  <ax:ocxPr ax:name="FontName" ax:value="Calibri"/>
  <ax:ocxPr ax:name="FontHeight" ax:value="225"/>
  <ax:ocxPr ax:name="FontCharSet" ax:value="204"/>
  <ax:ocxPr ax:name="FontPitchAndFamily" ax:value="2"/>
</ax:ocx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I.R.T"/>
  <ax:ocxPr ax:name="Size" ax:value="397;318"/>
  <ax:ocxPr ax:name="FontName" ax:value="Calibri"/>
  <ax:ocxPr ax:name="FontHeight" ax:value="225"/>
  <ax:ocxPr ax:name="FontCharSet" ax:value="204"/>
  <ax:ocxPr ax:name="FontPitchAndFamily" ax:value="2"/>
  <ax:ocxPr ax:name="ParagraphAlign" ax:value="3"/>
</ax:ocx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PropertyBag">
  <ax:ocxPr ax:name="VariousPropertyBits" ax:value="746604571"/>
  <ax:ocxPr ax:name="Size" ax:value="4551;820"/>
  <ax:ocxPr ax:name="Value" ax:value="EX"/>
  <ax:ocxPr ax:name="FontName" ax:value="Calibri"/>
  <ax:ocxPr ax:name="FontHeight" ax:value="225"/>
  <ax:ocxPr ax:name="FontCharSet" ax:value="204"/>
  <ax:ocxPr ax:name="FontPitchAndFamily" ax:value="2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queryTables/queryTable1.xml><?xml version="1.0" encoding="utf-8"?>
<queryTable xmlns="http://schemas.openxmlformats.org/spreadsheetml/2006/main" name="1-DKK-EUR_2" refreshOnLoad="1" connectionId="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1-DKK-EUR_1" refreshOnLoad="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W187"/>
  <sheetViews>
    <sheetView tabSelected="1" workbookViewId="0">
      <selection activeCell="M10" sqref="M10"/>
    </sheetView>
  </sheetViews>
  <sheetFormatPr defaultRowHeight="15"/>
  <cols>
    <col min="1" max="1" width="15.28515625" bestFit="1" customWidth="1"/>
    <col min="4" max="4" width="29.85546875" style="35" customWidth="1"/>
    <col min="5" max="5" width="24.28515625" style="50" customWidth="1"/>
    <col min="6" max="6" width="15.140625" style="35" customWidth="1"/>
    <col min="7" max="7" width="21" style="36" customWidth="1"/>
    <col min="8" max="8" width="28.28515625" style="36" customWidth="1"/>
    <col min="9" max="9" width="3.5703125" customWidth="1"/>
    <col min="12" max="14" width="10.28515625" style="35" bestFit="1" customWidth="1"/>
    <col min="15" max="16" width="10.140625" style="36" bestFit="1" customWidth="1"/>
    <col min="19" max="19" width="5.5703125" customWidth="1"/>
    <col min="20" max="20" width="5.7109375" customWidth="1"/>
    <col min="21" max="21" width="10.140625" hidden="1" customWidth="1"/>
  </cols>
  <sheetData>
    <row r="1" spans="1:23">
      <c r="A1" s="37"/>
      <c r="B1" s="37"/>
      <c r="C1" s="37"/>
      <c r="D1" s="39"/>
      <c r="E1" s="52"/>
      <c r="F1" s="39"/>
      <c r="G1" s="40"/>
      <c r="H1" s="40"/>
      <c r="I1" s="37"/>
      <c r="J1" s="37"/>
      <c r="K1" s="37"/>
      <c r="L1" s="39"/>
      <c r="M1" s="39"/>
      <c r="N1" s="39"/>
      <c r="O1" s="40"/>
      <c r="P1" s="40"/>
      <c r="Q1" s="40"/>
      <c r="R1" s="40"/>
      <c r="S1" s="40"/>
      <c r="T1" s="40"/>
      <c r="U1" s="49">
        <v>28</v>
      </c>
      <c r="V1" s="39"/>
      <c r="W1" s="39"/>
    </row>
    <row r="2" spans="1:23">
      <c r="A2" s="37"/>
      <c r="B2" s="37"/>
      <c r="C2" s="37"/>
      <c r="D2" s="39"/>
      <c r="E2" s="52"/>
      <c r="F2" s="39"/>
      <c r="G2" s="40"/>
      <c r="H2" s="40"/>
      <c r="I2" s="37"/>
      <c r="J2" s="37"/>
      <c r="K2" s="37"/>
      <c r="L2" s="39"/>
      <c r="M2" s="39"/>
      <c r="N2" s="39"/>
      <c r="O2" s="40"/>
      <c r="P2" s="40"/>
      <c r="Q2" s="40"/>
      <c r="R2" s="40"/>
      <c r="S2" s="40"/>
      <c r="T2" s="40"/>
      <c r="U2" s="49" t="s">
        <v>334</v>
      </c>
      <c r="V2" s="39"/>
      <c r="W2" s="39"/>
    </row>
    <row r="3" spans="1:23">
      <c r="A3" s="37"/>
      <c r="B3" s="37"/>
      <c r="C3" s="37"/>
      <c r="D3" s="39"/>
      <c r="E3" s="52"/>
      <c r="F3" s="39"/>
      <c r="G3" s="40"/>
      <c r="H3" s="40"/>
      <c r="I3" s="37"/>
      <c r="J3" s="37"/>
      <c r="K3" s="37"/>
      <c r="L3" s="39"/>
      <c r="M3" s="39"/>
      <c r="N3" s="39"/>
      <c r="O3" s="40"/>
      <c r="P3" s="40"/>
      <c r="Q3" s="40"/>
      <c r="R3" s="40"/>
      <c r="S3" s="40"/>
      <c r="T3" s="40"/>
      <c r="U3" s="49" t="s">
        <v>333</v>
      </c>
      <c r="V3" s="39"/>
      <c r="W3" s="39"/>
    </row>
    <row r="4" spans="1:23" ht="15.75" thickBot="1">
      <c r="A4" s="37"/>
      <c r="B4" s="37"/>
      <c r="C4" s="37"/>
      <c r="D4" s="39"/>
      <c r="E4" s="52"/>
      <c r="F4" s="39"/>
      <c r="G4" s="40"/>
      <c r="H4" s="40"/>
      <c r="I4" s="37"/>
      <c r="J4" s="37"/>
      <c r="K4" s="37"/>
      <c r="L4" s="39"/>
      <c r="M4" s="39"/>
      <c r="N4" s="39"/>
      <c r="O4" s="40"/>
      <c r="P4" s="40"/>
      <c r="Q4" s="40"/>
      <c r="R4" s="40"/>
      <c r="S4" s="40"/>
      <c r="T4" s="40"/>
      <c r="U4" s="49">
        <v>188</v>
      </c>
      <c r="V4" s="39"/>
      <c r="W4" s="39"/>
    </row>
    <row r="5" spans="1:23" ht="21">
      <c r="A5" s="37"/>
      <c r="B5" s="37"/>
      <c r="C5" s="37"/>
      <c r="D5" s="44" t="s">
        <v>331</v>
      </c>
      <c r="E5" s="45" t="s">
        <v>4</v>
      </c>
      <c r="F5" s="45" t="s">
        <v>332</v>
      </c>
      <c r="G5" s="46" t="s">
        <v>0</v>
      </c>
      <c r="H5" s="47" t="s">
        <v>1</v>
      </c>
      <c r="I5" s="37"/>
      <c r="J5" s="37"/>
      <c r="K5" s="37"/>
      <c r="L5" s="39"/>
      <c r="M5" s="39"/>
      <c r="N5" s="39"/>
      <c r="O5" s="40"/>
      <c r="P5" s="40"/>
      <c r="Q5" s="40"/>
      <c r="R5" s="40"/>
      <c r="S5" s="40"/>
      <c r="T5" s="40"/>
      <c r="U5" s="40"/>
      <c r="V5" s="39"/>
      <c r="W5" s="39"/>
    </row>
    <row r="6" spans="1:23" ht="21">
      <c r="A6" s="37"/>
      <c r="B6" s="37"/>
      <c r="C6" s="37"/>
      <c r="D6" s="48" t="str">
        <f ca="1">OFFSET(headlist!A2:E17,$U$1,0,1,1)</f>
        <v>EXCELENT</v>
      </c>
      <c r="E6" s="48">
        <f ca="1">OFFSET(headlist!B2:F17,$U$1,0,1,1)</f>
        <v>11862.5</v>
      </c>
      <c r="F6" s="48" t="str">
        <f ca="1">OFFSET(headlist!C2:G17,$U$1,0,1,1)</f>
        <v>paid</v>
      </c>
      <c r="G6" s="54">
        <f ca="1">OFFSET(headlist!D2:H17,$U$1,0,1,1)</f>
        <v>43822</v>
      </c>
      <c r="H6" s="54">
        <f ca="1">OFFSET(headlist!E2:I17,$U$1,0,1,1)</f>
        <v>43832</v>
      </c>
      <c r="I6" s="48">
        <f ca="1">OFFSET(headlist!F2:J17,$U$1,0,1,1)</f>
        <v>29</v>
      </c>
      <c r="J6" s="37"/>
      <c r="K6" s="37"/>
      <c r="L6" s="39"/>
      <c r="M6" s="39"/>
      <c r="N6" s="39"/>
      <c r="O6" s="40"/>
      <c r="P6" s="40"/>
      <c r="Q6" s="40"/>
      <c r="R6" s="40"/>
      <c r="S6" s="40"/>
      <c r="T6" s="40"/>
      <c r="U6" s="40"/>
      <c r="V6" s="39"/>
      <c r="W6" s="39"/>
    </row>
    <row r="7" spans="1:23" ht="21">
      <c r="A7" s="37"/>
      <c r="B7" s="37"/>
      <c r="C7" s="37"/>
      <c r="D7" s="48" t="str">
        <f ca="1">OFFSET(headlist!A3:E18,$U$1,0,1,1)</f>
        <v>SCHMIDT</v>
      </c>
      <c r="E7" s="48">
        <f ca="1">OFFSET(headlist!B3:F18,$U$1,0,1,1)</f>
        <v>2400</v>
      </c>
      <c r="F7" s="48" t="str">
        <f ca="1">OFFSET(headlist!C3:G18,$U$1,0,1,1)</f>
        <v>paid</v>
      </c>
      <c r="G7" s="54">
        <f ca="1">OFFSET(headlist!D3:H18,$U$1,0,1,1)</f>
        <v>43825</v>
      </c>
      <c r="H7" s="54">
        <f ca="1">OFFSET(headlist!E3:I18,$U$1,0,1,1)</f>
        <v>43833</v>
      </c>
      <c r="I7" s="48">
        <f ca="1">OFFSET(headlist!F3:J18,$U$1,0,1,1)</f>
        <v>30</v>
      </c>
      <c r="J7" s="37"/>
      <c r="K7" s="37"/>
      <c r="L7" s="39"/>
      <c r="M7" s="39"/>
      <c r="N7" s="39"/>
      <c r="O7" s="40"/>
      <c r="P7" s="40"/>
      <c r="Q7" s="40"/>
      <c r="R7" s="40"/>
      <c r="S7" s="40"/>
      <c r="T7" s="40"/>
      <c r="U7" s="40"/>
      <c r="V7" s="39"/>
      <c r="W7" s="39"/>
    </row>
    <row r="8" spans="1:23" ht="21">
      <c r="A8" s="37"/>
      <c r="B8" s="37"/>
      <c r="C8" s="37"/>
      <c r="D8" s="48" t="str">
        <f ca="1">OFFSET(headlist!A4:E19,$U$1,0,1,1)</f>
        <v>Vendor 22</v>
      </c>
      <c r="E8" s="48">
        <f ca="1">OFFSET(headlist!B4:F19,$U$1,0,1,1)</f>
        <v>1384</v>
      </c>
      <c r="F8" s="48" t="str">
        <f ca="1">OFFSET(headlist!C4:G19,$U$1,0,1,1)</f>
        <v>paid</v>
      </c>
      <c r="G8" s="54">
        <f ca="1">OFFSET(headlist!D4:H19,$U$1,0,1,1)</f>
        <v>43821</v>
      </c>
      <c r="H8" s="54">
        <f ca="1">OFFSET(headlist!E4:I19,$U$1,0,1,1)</f>
        <v>43826</v>
      </c>
      <c r="I8" s="48">
        <f ca="1">OFFSET(headlist!F4:J19,$U$1,0,1,1)</f>
        <v>31</v>
      </c>
      <c r="J8" s="37"/>
      <c r="K8" s="37"/>
      <c r="L8" s="40"/>
      <c r="M8" s="39"/>
      <c r="N8" s="39"/>
      <c r="O8" s="40"/>
      <c r="P8" s="40"/>
      <c r="Q8" s="40"/>
      <c r="R8" s="40"/>
      <c r="S8" s="40"/>
      <c r="T8" s="40"/>
      <c r="U8" s="40"/>
      <c r="V8" s="39"/>
      <c r="W8" s="39"/>
    </row>
    <row r="9" spans="1:23" ht="21">
      <c r="A9" s="37"/>
      <c r="B9" s="37"/>
      <c r="C9" s="37"/>
      <c r="D9" s="48" t="str">
        <f ca="1">OFFSET(headlist!A5:E20,$U$1,0,1,1)</f>
        <v>Vendor 22</v>
      </c>
      <c r="E9" s="48">
        <f ca="1">OFFSET(headlist!B5:F20,$U$1,0,1,1)</f>
        <v>328.75</v>
      </c>
      <c r="F9" s="48" t="str">
        <f ca="1">OFFSET(headlist!C5:G20,$U$1,0,1,1)</f>
        <v>paid</v>
      </c>
      <c r="G9" s="54">
        <f ca="1">OFFSET(headlist!D5:H20,$U$1,0,1,1)</f>
        <v>43831</v>
      </c>
      <c r="H9" s="54">
        <f ca="1">OFFSET(headlist!E5:I20,$U$1,0,1,1)</f>
        <v>43840</v>
      </c>
      <c r="I9" s="48">
        <f ca="1">OFFSET(headlist!F5:J20,$U$1,0,1,1)</f>
        <v>32</v>
      </c>
      <c r="J9" s="37"/>
      <c r="K9" s="37"/>
      <c r="L9" s="39"/>
      <c r="M9" s="39"/>
      <c r="N9" s="39"/>
      <c r="O9" s="40"/>
      <c r="P9" s="40"/>
      <c r="Q9" s="40"/>
      <c r="R9" s="40"/>
      <c r="S9" s="40"/>
      <c r="T9" s="40"/>
      <c r="U9" s="40"/>
      <c r="V9" s="39"/>
      <c r="W9" s="39"/>
    </row>
    <row r="10" spans="1:23" ht="21">
      <c r="A10" s="37"/>
      <c r="B10" s="37"/>
      <c r="C10" s="37"/>
      <c r="D10" s="48" t="str">
        <f ca="1">OFFSET(headlist!A6:E21,$U$1,0,1,1)</f>
        <v>Vendor 1</v>
      </c>
      <c r="E10" s="48">
        <f ca="1">OFFSET(headlist!B6:F21,$U$1,0,1,1)</f>
        <v>304.75</v>
      </c>
      <c r="F10" s="48" t="str">
        <f ca="1">OFFSET(headlist!C6:G21,$U$1,0,1,1)</f>
        <v>paid</v>
      </c>
      <c r="G10" s="54">
        <f ca="1">OFFSET(headlist!D6:H21,$U$1,0,1,1)</f>
        <v>43831</v>
      </c>
      <c r="H10" s="54">
        <f ca="1">OFFSET(headlist!E6:I21,$U$1,0,1,1)</f>
        <v>43832</v>
      </c>
      <c r="I10" s="48">
        <f ca="1">OFFSET(headlist!F6:J21,$U$1,0,1,1)</f>
        <v>33</v>
      </c>
      <c r="J10" s="37"/>
      <c r="K10" s="37"/>
      <c r="L10" s="39"/>
      <c r="M10" s="39"/>
      <c r="N10" s="39"/>
      <c r="O10" s="40"/>
      <c r="P10" s="40"/>
      <c r="Q10" s="40"/>
      <c r="R10" s="40"/>
      <c r="S10" s="40"/>
      <c r="T10" s="40"/>
      <c r="U10" s="40"/>
      <c r="V10" s="39"/>
      <c r="W10" s="39"/>
    </row>
    <row r="11" spans="1:23" ht="21">
      <c r="A11" s="37"/>
      <c r="B11" s="37"/>
      <c r="C11" s="37"/>
      <c r="D11" s="48" t="str">
        <f ca="1">OFFSET(headlist!A7:E22,$U$1,0,1,1)</f>
        <v>YOUSEE</v>
      </c>
      <c r="E11" s="48">
        <f ca="1">OFFSET(headlist!B7:F22,$U$1,0,1,1)</f>
        <v>314.75</v>
      </c>
      <c r="F11" s="48" t="str">
        <f ca="1">OFFSET(headlist!C7:G22,$U$1,0,1,1)</f>
        <v>paid</v>
      </c>
      <c r="G11" s="54">
        <f ca="1">OFFSET(headlist!D7:H22,$U$1,0,1,1)</f>
        <v>43805</v>
      </c>
      <c r="H11" s="54">
        <f ca="1">OFFSET(headlist!E7:I22,$U$1,0,1,1)</f>
        <v>43861</v>
      </c>
      <c r="I11" s="48">
        <f ca="1">OFFSET(headlist!F7:J22,$U$1,0,1,1)</f>
        <v>34</v>
      </c>
      <c r="J11" s="37"/>
      <c r="K11" s="37"/>
      <c r="L11" s="39"/>
      <c r="M11" s="39"/>
      <c r="N11" s="39"/>
      <c r="O11" s="40"/>
      <c r="P11" s="40"/>
      <c r="Q11" s="40"/>
      <c r="R11" s="40"/>
      <c r="S11" s="40"/>
      <c r="T11" s="40"/>
      <c r="U11" s="40"/>
      <c r="V11" s="39"/>
      <c r="W11" s="39"/>
    </row>
    <row r="12" spans="1:23" ht="21">
      <c r="A12" s="37"/>
      <c r="B12" s="37"/>
      <c r="C12" s="37"/>
      <c r="D12" s="48" t="str">
        <f ca="1">OFFSET(headlist!A8:E23,$U$1,0,1,1)</f>
        <v>IPNORDIC</v>
      </c>
      <c r="E12" s="48">
        <f ca="1">OFFSET(headlist!B8:F23,$U$1,0,1,1)</f>
        <v>311.25</v>
      </c>
      <c r="F12" s="48" t="str">
        <f ca="1">OFFSET(headlist!C8:G23,$U$1,0,1,1)</f>
        <v>paid</v>
      </c>
      <c r="G12" s="54">
        <f ca="1">OFFSET(headlist!D8:H23,$U$1,0,1,1)</f>
        <v>43812</v>
      </c>
      <c r="H12" s="54">
        <f ca="1">OFFSET(headlist!E8:I23,$U$1,0,1,1)</f>
        <v>43842</v>
      </c>
      <c r="I12" s="48">
        <f ca="1">OFFSET(headlist!F8:J23,$U$1,0,1,1)</f>
        <v>35</v>
      </c>
      <c r="J12" s="37"/>
      <c r="K12" s="37"/>
      <c r="L12" s="39"/>
      <c r="M12" s="39"/>
      <c r="N12" s="39"/>
      <c r="O12" s="40"/>
      <c r="P12" s="40"/>
      <c r="Q12" s="40"/>
      <c r="R12" s="40"/>
      <c r="S12" s="40"/>
      <c r="T12" s="40"/>
      <c r="U12" s="40"/>
      <c r="V12" s="39"/>
      <c r="W12" s="39"/>
    </row>
    <row r="13" spans="1:23" ht="21">
      <c r="A13" s="37"/>
      <c r="B13" s="37"/>
      <c r="C13" s="37"/>
      <c r="D13" s="48" t="str">
        <f ca="1">OFFSET(headlist!A9:E24,$U$1,0,1,1)</f>
        <v>DRIKPORTVIN</v>
      </c>
      <c r="E13" s="48">
        <f ca="1">OFFSET(headlist!B9:F24,$U$1,0,1,1)</f>
        <v>2970</v>
      </c>
      <c r="F13" s="48" t="str">
        <f ca="1">OFFSET(headlist!C9:G24,$U$1,0,1,1)</f>
        <v>paid</v>
      </c>
      <c r="G13" s="54">
        <f ca="1">OFFSET(headlist!D9:H24,$U$1,0,1,1)</f>
        <v>43817</v>
      </c>
      <c r="H13" s="54">
        <f ca="1">OFFSET(headlist!E9:I24,$U$1,0,1,1)</f>
        <v>43825</v>
      </c>
      <c r="I13" s="48">
        <f ca="1">OFFSET(headlist!F9:J24,$U$1,0,1,1)</f>
        <v>36</v>
      </c>
      <c r="J13" s="37"/>
      <c r="K13" s="37"/>
      <c r="L13" s="39"/>
      <c r="M13" s="39"/>
      <c r="N13" s="39"/>
      <c r="O13" s="40"/>
      <c r="P13" s="40"/>
      <c r="Q13" s="40"/>
      <c r="R13" s="40"/>
      <c r="S13" s="40"/>
      <c r="T13" s="40"/>
      <c r="U13" s="40"/>
      <c r="V13" s="39"/>
      <c r="W13" s="39"/>
    </row>
    <row r="14" spans="1:23" ht="21">
      <c r="A14" s="37"/>
      <c r="B14" s="37"/>
      <c r="C14" s="37"/>
      <c r="D14" s="48" t="str">
        <f ca="1">OFFSET(headlist!A10:E25,$U$1,0,1,1)</f>
        <v>Vendor 4</v>
      </c>
      <c r="E14" s="48">
        <f ca="1">OFFSET(headlist!B10:F25,$U$1,0,1,1)</f>
        <v>3728.5607755406413</v>
      </c>
      <c r="F14" s="48" t="str">
        <f ca="1">OFFSET(headlist!C10:G25,$U$1,0,1,1)</f>
        <v>unpaid</v>
      </c>
      <c r="G14" s="54">
        <f ca="1">OFFSET(headlist!D10:H25,$U$1,0,1,1)</f>
        <v>43822</v>
      </c>
      <c r="H14" s="54">
        <f ca="1">OFFSET(headlist!E10:I25,$U$1,0,1,1)</f>
        <v>43852</v>
      </c>
      <c r="I14" s="48">
        <f ca="1">OFFSET(headlist!F10:J25,$U$1,0,1,1)</f>
        <v>37</v>
      </c>
      <c r="J14" s="37"/>
      <c r="K14" s="37"/>
      <c r="L14" s="39"/>
      <c r="M14" s="39"/>
      <c r="N14" s="39"/>
      <c r="O14" s="40"/>
      <c r="P14" s="40"/>
      <c r="Q14" s="40"/>
      <c r="R14" s="40"/>
      <c r="S14" s="40"/>
      <c r="T14" s="40"/>
      <c r="U14" s="40"/>
      <c r="V14" s="39"/>
      <c r="W14" s="39"/>
    </row>
    <row r="15" spans="1:23" ht="21">
      <c r="A15" s="37"/>
      <c r="B15" s="37"/>
      <c r="C15" s="37"/>
      <c r="D15" s="48" t="str">
        <f ca="1">OFFSET(headlist!A11:E26,$U$1,0,1,1)</f>
        <v>Vendor 4</v>
      </c>
      <c r="E15" s="48">
        <f ca="1">OFFSET(headlist!B11:F26,$U$1,0,1,1)</f>
        <v>3728.5607755406413</v>
      </c>
      <c r="F15" s="48" t="str">
        <f ca="1">OFFSET(headlist!C11:G26,$U$1,0,1,1)</f>
        <v>paid</v>
      </c>
      <c r="G15" s="54">
        <f ca="1">OFFSET(headlist!D11:H26,$U$1,0,1,1)</f>
        <v>43822</v>
      </c>
      <c r="H15" s="54">
        <f ca="1">OFFSET(headlist!E11:I26,$U$1,0,1,1)</f>
        <v>43852</v>
      </c>
      <c r="I15" s="48">
        <f ca="1">OFFSET(headlist!F11:J26,$U$1,0,1,1)</f>
        <v>38</v>
      </c>
      <c r="J15" s="37"/>
      <c r="K15" s="37"/>
      <c r="L15" s="39"/>
      <c r="M15" s="39"/>
      <c r="N15" s="39"/>
      <c r="O15" s="40"/>
      <c r="P15" s="40"/>
      <c r="Q15" s="40"/>
      <c r="R15" s="40"/>
      <c r="S15" s="40"/>
      <c r="T15" s="40"/>
      <c r="U15" s="40"/>
      <c r="V15" s="39"/>
      <c r="W15" s="39"/>
    </row>
    <row r="16" spans="1:23" ht="21">
      <c r="A16" s="37"/>
      <c r="B16" s="37"/>
      <c r="C16" s="37"/>
      <c r="D16" s="48" t="str">
        <f ca="1">OFFSET(headlist!A12:E27,$U$1,0,1,1)</f>
        <v>Vendor 9</v>
      </c>
      <c r="E16" s="48">
        <f ca="1">OFFSET(headlist!B12:F27,$U$1,0,1,1)</f>
        <v>3056.25</v>
      </c>
      <c r="F16" s="48" t="str">
        <f ca="1">OFFSET(headlist!C12:G27,$U$1,0,1,1)</f>
        <v>paid</v>
      </c>
      <c r="G16" s="54">
        <f ca="1">OFFSET(headlist!D12:H27,$U$1,0,1,1)</f>
        <v>43818</v>
      </c>
      <c r="H16" s="54">
        <f ca="1">OFFSET(headlist!E12:I27,$U$1,0,1,1)</f>
        <v>43860</v>
      </c>
      <c r="I16" s="48">
        <f ca="1">OFFSET(headlist!F12:J27,$U$1,0,1,1)</f>
        <v>39</v>
      </c>
      <c r="J16" s="37"/>
      <c r="K16" s="37"/>
      <c r="L16" s="39"/>
      <c r="M16" s="39"/>
      <c r="N16" s="39"/>
      <c r="O16" s="40"/>
      <c r="P16" s="40"/>
      <c r="Q16" s="40"/>
      <c r="R16" s="40"/>
      <c r="S16" s="40"/>
      <c r="T16" s="40"/>
      <c r="U16" s="40"/>
      <c r="V16" s="39"/>
      <c r="W16" s="39"/>
    </row>
    <row r="17" spans="1:23" ht="21">
      <c r="A17" s="37"/>
      <c r="B17" s="37"/>
      <c r="C17" s="37"/>
      <c r="D17" s="48" t="str">
        <f ca="1">OFFSET(headlist!A13:E28,$U$1,0,1,1)</f>
        <v>Vendor 19 FISCH</v>
      </c>
      <c r="E17" s="48">
        <f ca="1">OFFSET(headlist!B13:F28,$U$1,0,1,1)</f>
        <v>14037.583892617451</v>
      </c>
      <c r="F17" s="48" t="str">
        <f ca="1">OFFSET(headlist!C13:G28,$U$1,0,1,1)</f>
        <v>paid</v>
      </c>
      <c r="G17" s="54">
        <f ca="1">OFFSET(headlist!D13:H28,$U$1,0,1,1)</f>
        <v>43816</v>
      </c>
      <c r="H17" s="54">
        <f ca="1">OFFSET(headlist!E13:I28,$U$1,0,1,1)</f>
        <v>43856</v>
      </c>
      <c r="I17" s="48">
        <f ca="1">OFFSET(headlist!F13:J28,$U$1,0,1,1)</f>
        <v>40</v>
      </c>
      <c r="J17" s="37"/>
      <c r="K17" s="37"/>
      <c r="L17" s="39"/>
      <c r="M17" s="39"/>
      <c r="N17" s="39"/>
      <c r="O17" s="40"/>
      <c r="P17" s="40"/>
      <c r="Q17" s="40"/>
      <c r="R17" s="40"/>
      <c r="S17" s="40"/>
      <c r="T17" s="40"/>
      <c r="U17" s="40"/>
      <c r="V17" s="39"/>
      <c r="W17" s="39"/>
    </row>
    <row r="18" spans="1:23" ht="21">
      <c r="A18" s="37"/>
      <c r="B18" s="37"/>
      <c r="C18" s="37"/>
      <c r="D18" s="48" t="str">
        <f ca="1">OFFSET(headlist!A14:E29,$U$1,0,1,1)</f>
        <v>vendor xx</v>
      </c>
      <c r="E18" s="48">
        <f ca="1">OFFSET(headlist!B14:F29,$U$1,0,1,1)</f>
        <v>6328.13</v>
      </c>
      <c r="F18" s="48" t="str">
        <f ca="1">OFFSET(headlist!C14:G29,$U$1,0,1,1)</f>
        <v>paid</v>
      </c>
      <c r="G18" s="54">
        <f ca="1">OFFSET(headlist!D14:H29,$U$1,0,1,1)</f>
        <v>43817</v>
      </c>
      <c r="H18" s="54">
        <f ca="1">OFFSET(headlist!E14:I29,$U$1,0,1,1)</f>
        <v>43860</v>
      </c>
      <c r="I18" s="48">
        <f ca="1">OFFSET(headlist!F14:J29,$U$1,0,1,1)</f>
        <v>41</v>
      </c>
      <c r="J18" s="37"/>
      <c r="K18" s="37"/>
      <c r="L18" s="39"/>
      <c r="M18" s="39"/>
      <c r="N18" s="39"/>
      <c r="O18" s="40"/>
      <c r="P18" s="40"/>
      <c r="Q18" s="40"/>
      <c r="R18" s="40"/>
      <c r="S18" s="40"/>
      <c r="T18" s="40"/>
      <c r="U18" s="40"/>
      <c r="V18" s="39"/>
      <c r="W18" s="39"/>
    </row>
    <row r="19" spans="1:23" ht="21">
      <c r="A19" s="38"/>
      <c r="B19" s="37"/>
      <c r="C19" s="37"/>
      <c r="D19" s="48" t="str">
        <f ca="1">OFFSET(headlist!A15:E30,$U$1,0,1,1)</f>
        <v>vendor xx</v>
      </c>
      <c r="E19" s="48">
        <f ca="1">OFFSET(headlist!B15:F30,$U$1,0,1,1)</f>
        <v>1687.5</v>
      </c>
      <c r="F19" s="48" t="str">
        <f ca="1">OFFSET(headlist!C15:G30,$U$1,0,1,1)</f>
        <v>paid</v>
      </c>
      <c r="G19" s="54">
        <f ca="1">OFFSET(headlist!D15:H30,$U$1,0,1,1)</f>
        <v>43829</v>
      </c>
      <c r="H19" s="54">
        <f ca="1">OFFSET(headlist!E15:I30,$U$1,0,1,1)</f>
        <v>43860</v>
      </c>
      <c r="I19" s="48">
        <f ca="1">OFFSET(headlist!F15:J30,$U$1,0,1,1)</f>
        <v>42</v>
      </c>
      <c r="J19" s="37"/>
      <c r="K19" s="37"/>
      <c r="L19" s="39"/>
      <c r="M19" s="39"/>
      <c r="N19" s="39"/>
      <c r="O19" s="40"/>
      <c r="P19" s="40"/>
      <c r="Q19" s="40"/>
      <c r="R19" s="40"/>
      <c r="S19" s="40"/>
      <c r="T19" s="40"/>
      <c r="U19" s="40"/>
      <c r="V19" s="39"/>
      <c r="W19" s="39"/>
    </row>
    <row r="20" spans="1:23" ht="21">
      <c r="A20" s="37"/>
      <c r="B20" s="37"/>
      <c r="C20" s="37"/>
      <c r="D20" s="48" t="str">
        <f ca="1">OFFSET(headlist!A16:E31,$U$1,0,1,1)</f>
        <v>Vendor 4</v>
      </c>
      <c r="E20" s="48">
        <f ca="1">OFFSET(headlist!B16:F31,$U$1,0,1,1)</f>
        <v>20507.084265473528</v>
      </c>
      <c r="F20" s="48" t="str">
        <f ca="1">OFFSET(headlist!C16:G31,$U$1,0,1,1)</f>
        <v>paid</v>
      </c>
      <c r="G20" s="54">
        <f ca="1">OFFSET(headlist!D16:H31,$U$1,0,1,1)</f>
        <v>43826</v>
      </c>
      <c r="H20" s="54">
        <f ca="1">OFFSET(headlist!E16:I31,$U$1,0,1,1)</f>
        <v>43856</v>
      </c>
      <c r="I20" s="48">
        <f ca="1">OFFSET(headlist!F16:J31,$U$1,0,1,1)</f>
        <v>43</v>
      </c>
      <c r="J20" s="37"/>
      <c r="K20" s="37"/>
      <c r="L20" s="39"/>
      <c r="M20" s="39"/>
      <c r="N20" s="39"/>
      <c r="O20" s="40"/>
      <c r="P20" s="40"/>
      <c r="Q20" s="40"/>
      <c r="R20" s="40"/>
      <c r="S20" s="40"/>
      <c r="T20" s="40"/>
      <c r="U20" s="40"/>
      <c r="V20" s="39"/>
      <c r="W20" s="39"/>
    </row>
    <row r="21" spans="1:23" ht="21">
      <c r="A21" s="37"/>
      <c r="B21" s="37"/>
      <c r="C21" s="37"/>
      <c r="D21" s="48" t="str">
        <f ca="1">OFFSET(headlist!A17:E32,$U$1,0,1,1)</f>
        <v>Vendor 4</v>
      </c>
      <c r="E21" s="48">
        <f ca="1">OFFSET(headlist!B17:F32,$U$1,0,1,1)</f>
        <v>9321.4019388516026</v>
      </c>
      <c r="F21" s="48" t="str">
        <f ca="1">OFFSET(headlist!C17:G32,$U$1,0,1,1)</f>
        <v>paid</v>
      </c>
      <c r="G21" s="54">
        <f ca="1">OFFSET(headlist!D17:H32,$U$1,0,1,1)</f>
        <v>43826</v>
      </c>
      <c r="H21" s="54">
        <f ca="1">OFFSET(headlist!E17:I32,$U$1,0,1,1)</f>
        <v>43856</v>
      </c>
      <c r="I21" s="48">
        <f ca="1">OFFSET(headlist!F17:J32,$U$1,0,1,1)</f>
        <v>44</v>
      </c>
      <c r="J21" s="37"/>
      <c r="K21" s="37"/>
      <c r="L21" s="39"/>
      <c r="M21" s="39"/>
      <c r="N21" s="39"/>
      <c r="O21" s="40"/>
      <c r="P21" s="40"/>
      <c r="Q21" s="40"/>
      <c r="R21" s="40"/>
      <c r="S21" s="40"/>
      <c r="T21" s="40"/>
      <c r="U21" s="40"/>
      <c r="V21" s="39"/>
      <c r="W21" s="39"/>
    </row>
    <row r="22" spans="1:23" ht="21">
      <c r="A22" s="37"/>
      <c r="B22" s="37"/>
      <c r="C22" s="37"/>
      <c r="D22" s="48" t="str">
        <f ca="1">OFFSET(headlist!A18:E33,$U$1,0,1,1)</f>
        <v>Vendor 9</v>
      </c>
      <c r="E22" s="48">
        <f ca="1">OFFSET(headlist!B18:F33,$U$1,0,1,1)</f>
        <v>2546.88</v>
      </c>
      <c r="F22" s="48" t="str">
        <f ca="1">OFFSET(headlist!C18:G33,$U$1,0,1,1)</f>
        <v>paid</v>
      </c>
      <c r="G22" s="54">
        <f ca="1">OFFSET(headlist!D18:H33,$U$1,0,1,1)</f>
        <v>43822</v>
      </c>
      <c r="H22" s="54">
        <f ca="1">OFFSET(headlist!E18:I33,$U$1,0,1,1)</f>
        <v>43860</v>
      </c>
      <c r="I22" s="48">
        <f ca="1">OFFSET(headlist!F18:J33,$U$1,0,1,1)</f>
        <v>45</v>
      </c>
      <c r="J22" s="37"/>
      <c r="K22" s="37"/>
      <c r="L22" s="39"/>
      <c r="M22" s="39"/>
      <c r="N22" s="39"/>
      <c r="O22" s="40"/>
      <c r="P22" s="40"/>
      <c r="Q22" s="40"/>
      <c r="R22" s="40"/>
      <c r="S22" s="40"/>
      <c r="T22" s="40"/>
      <c r="U22" s="40"/>
      <c r="V22" s="39"/>
      <c r="W22" s="39"/>
    </row>
    <row r="23" spans="1:23" ht="21">
      <c r="A23" s="37"/>
      <c r="B23" s="37"/>
      <c r="C23" s="37"/>
      <c r="D23" s="48" t="str">
        <f ca="1">OFFSET(headlist!A19:E34,$U$1,0,1,1)</f>
        <v>Vendor 9</v>
      </c>
      <c r="E23" s="48">
        <f ca="1">OFFSET(headlist!B19:F34,$U$1,0,1,1)</f>
        <v>3750</v>
      </c>
      <c r="F23" s="48" t="str">
        <f ca="1">OFFSET(headlist!C19:G34,$U$1,0,1,1)</f>
        <v>paid</v>
      </c>
      <c r="G23" s="54">
        <f ca="1">OFFSET(headlist!D19:H34,$U$1,0,1,1)</f>
        <v>43819</v>
      </c>
      <c r="H23" s="54">
        <f ca="1">OFFSET(headlist!E19:I34,$U$1,0,1,1)</f>
        <v>43860</v>
      </c>
      <c r="I23" s="48">
        <f ca="1">OFFSET(headlist!F19:J34,$U$1,0,1,1)</f>
        <v>46</v>
      </c>
      <c r="J23" s="37"/>
      <c r="K23" s="37"/>
      <c r="L23" s="39"/>
      <c r="M23" s="39"/>
      <c r="N23" s="39"/>
      <c r="O23" s="40"/>
      <c r="P23" s="40"/>
      <c r="Q23" s="40"/>
      <c r="R23" s="40"/>
      <c r="S23" s="40"/>
      <c r="T23" s="40"/>
      <c r="U23" s="40"/>
      <c r="V23" s="39"/>
      <c r="W23" s="39"/>
    </row>
    <row r="24" spans="1:23">
      <c r="A24" s="37"/>
      <c r="B24" s="37"/>
      <c r="C24" s="37"/>
      <c r="D24" s="39"/>
      <c r="E24" s="52"/>
      <c r="F24" s="39"/>
      <c r="G24" s="40"/>
      <c r="H24" s="40"/>
      <c r="I24" s="37"/>
      <c r="J24" s="37"/>
      <c r="K24" s="37"/>
      <c r="L24" s="39"/>
      <c r="M24" s="39"/>
      <c r="N24" s="39"/>
      <c r="O24" s="40"/>
      <c r="P24" s="40"/>
      <c r="Q24" s="40"/>
      <c r="R24" s="40"/>
      <c r="S24" s="40"/>
      <c r="T24" s="40"/>
      <c r="U24" s="40"/>
      <c r="V24" s="39"/>
      <c r="W24" s="39"/>
    </row>
    <row r="25" spans="1:23" ht="21">
      <c r="A25" s="37"/>
      <c r="B25" s="37"/>
      <c r="C25" s="37"/>
      <c r="D25" s="42" t="s">
        <v>350</v>
      </c>
      <c r="E25" s="53">
        <v>43</v>
      </c>
      <c r="F25" s="42" t="s">
        <v>333</v>
      </c>
      <c r="G25" s="43">
        <v>43790</v>
      </c>
      <c r="H25" s="43">
        <v>43791</v>
      </c>
      <c r="I25" s="37"/>
      <c r="J25" s="37"/>
      <c r="K25" s="37"/>
      <c r="L25" s="39"/>
      <c r="M25" s="39"/>
      <c r="N25" s="39"/>
      <c r="O25" s="40"/>
      <c r="P25" s="40"/>
      <c r="Q25" s="40"/>
      <c r="R25" s="40"/>
      <c r="S25" s="40"/>
      <c r="T25" s="40"/>
      <c r="U25" s="40"/>
      <c r="V25" s="39"/>
      <c r="W25" s="39"/>
    </row>
    <row r="26" spans="1:23">
      <c r="A26" s="37"/>
      <c r="B26" s="37"/>
      <c r="C26" s="37"/>
      <c r="D26" s="39"/>
      <c r="E26" s="52"/>
      <c r="F26" s="39"/>
      <c r="G26" s="40"/>
      <c r="H26" s="40"/>
      <c r="I26" s="37"/>
      <c r="J26" s="37"/>
      <c r="K26" s="37"/>
      <c r="L26" s="39"/>
      <c r="M26" s="39"/>
      <c r="N26" s="39"/>
      <c r="O26" s="40"/>
      <c r="P26" s="40"/>
      <c r="Q26" s="40"/>
      <c r="R26" s="40"/>
      <c r="S26" s="40"/>
      <c r="T26" s="40"/>
      <c r="U26" s="40"/>
      <c r="V26" s="39"/>
      <c r="W26" s="39"/>
    </row>
    <row r="27" spans="1:23">
      <c r="A27" s="41"/>
      <c r="B27" s="37"/>
      <c r="C27" s="37"/>
      <c r="D27" s="39"/>
      <c r="E27" s="52"/>
      <c r="F27" s="39"/>
      <c r="G27" s="40"/>
      <c r="H27" s="40"/>
      <c r="I27" s="37"/>
      <c r="J27" s="37"/>
      <c r="K27" s="37"/>
      <c r="L27" s="39"/>
      <c r="M27" s="39"/>
      <c r="N27" s="39"/>
      <c r="O27" s="40"/>
      <c r="P27" s="40"/>
      <c r="Q27" s="40"/>
      <c r="R27" s="40"/>
      <c r="S27" s="40"/>
      <c r="T27" s="40"/>
      <c r="U27" s="40"/>
      <c r="V27" s="39"/>
      <c r="W27" s="39"/>
    </row>
    <row r="28" spans="1:23">
      <c r="A28" s="37"/>
      <c r="B28" s="37"/>
      <c r="C28" s="37"/>
      <c r="D28" s="39"/>
      <c r="E28" s="52"/>
      <c r="F28" s="39"/>
      <c r="G28" s="40"/>
      <c r="H28" s="40"/>
      <c r="I28" s="37"/>
      <c r="J28" s="37"/>
      <c r="K28" s="37"/>
      <c r="L28" s="39"/>
      <c r="M28" s="39"/>
      <c r="N28" s="39"/>
      <c r="O28" s="40"/>
      <c r="P28" s="40"/>
      <c r="Q28" s="40"/>
      <c r="R28" s="40"/>
      <c r="S28" s="40"/>
      <c r="T28" s="40"/>
      <c r="U28" s="40"/>
      <c r="V28" s="39"/>
      <c r="W28" s="39"/>
    </row>
    <row r="29" spans="1:23">
      <c r="A29" s="37"/>
      <c r="B29" s="37"/>
      <c r="C29" s="37"/>
      <c r="D29" s="39"/>
      <c r="E29" s="52"/>
      <c r="F29" s="39"/>
      <c r="G29" s="40"/>
      <c r="H29" s="40"/>
      <c r="I29" s="37"/>
      <c r="J29" s="37"/>
      <c r="K29" s="37"/>
      <c r="L29" s="39"/>
      <c r="M29" s="39"/>
      <c r="N29" s="39"/>
      <c r="O29" s="40"/>
      <c r="P29" s="40"/>
      <c r="Q29" s="40"/>
      <c r="R29" s="40"/>
      <c r="S29" s="40"/>
      <c r="T29" s="40"/>
      <c r="U29" s="40"/>
      <c r="V29" s="39"/>
      <c r="W29" s="39"/>
    </row>
    <row r="30" spans="1:23">
      <c r="A30" s="37"/>
      <c r="B30" s="37"/>
      <c r="C30" s="37"/>
      <c r="D30" s="39"/>
      <c r="E30" s="52"/>
      <c r="F30" s="39"/>
      <c r="G30" s="40"/>
      <c r="H30" s="40"/>
      <c r="I30" s="37"/>
      <c r="J30" s="37"/>
      <c r="K30" s="37"/>
      <c r="L30" s="39"/>
      <c r="M30" s="39"/>
      <c r="N30" s="39"/>
      <c r="O30" s="40"/>
      <c r="P30" s="40"/>
      <c r="Q30" s="40"/>
      <c r="R30" s="40"/>
      <c r="S30" s="40"/>
      <c r="T30" s="40"/>
      <c r="U30" s="40"/>
      <c r="V30" s="39"/>
      <c r="W30" s="39"/>
    </row>
    <row r="31" spans="1:23">
      <c r="A31" s="37"/>
      <c r="B31" s="37"/>
      <c r="C31" s="37"/>
      <c r="D31" s="39"/>
      <c r="E31" s="52"/>
      <c r="F31" s="39"/>
      <c r="G31" s="40"/>
      <c r="H31" s="40"/>
      <c r="I31" s="37"/>
      <c r="J31" s="37"/>
      <c r="K31" s="37"/>
      <c r="L31" s="39"/>
      <c r="M31" s="39"/>
      <c r="N31" s="39"/>
      <c r="O31" s="40"/>
      <c r="P31" s="40"/>
      <c r="Q31" s="40"/>
      <c r="R31" s="40"/>
      <c r="S31" s="40"/>
      <c r="T31" s="40"/>
      <c r="U31" s="40"/>
      <c r="V31" s="39"/>
      <c r="W31" s="39"/>
    </row>
    <row r="32" spans="1:23">
      <c r="A32" s="37"/>
      <c r="B32" s="37"/>
      <c r="C32" s="37"/>
      <c r="D32" s="39"/>
      <c r="E32" s="52"/>
      <c r="F32" s="39"/>
      <c r="G32" s="40"/>
      <c r="H32" s="40"/>
      <c r="I32" s="37"/>
      <c r="J32" s="37"/>
      <c r="K32" s="37"/>
      <c r="L32" s="39"/>
      <c r="M32" s="39"/>
      <c r="N32" s="39"/>
      <c r="O32" s="40"/>
      <c r="P32" s="40"/>
      <c r="Q32" s="40"/>
      <c r="R32" s="40"/>
      <c r="S32" s="40"/>
      <c r="T32" s="40"/>
      <c r="U32" s="40"/>
      <c r="V32" s="39"/>
      <c r="W32" s="39"/>
    </row>
    <row r="35" spans="1:1">
      <c r="A35" s="29"/>
    </row>
    <row r="68" spans="1:1">
      <c r="A68" s="28"/>
    </row>
    <row r="71" spans="1:1">
      <c r="A71" s="28"/>
    </row>
    <row r="73" spans="1:1">
      <c r="A73" s="28"/>
    </row>
    <row r="74" spans="1:1">
      <c r="A74" s="28"/>
    </row>
    <row r="75" spans="1:1">
      <c r="A75" s="28"/>
    </row>
    <row r="91" spans="1:1">
      <c r="A91" s="30"/>
    </row>
    <row r="100" spans="1:1">
      <c r="A100" s="28"/>
    </row>
    <row r="105" spans="1:1">
      <c r="A105" s="28"/>
    </row>
    <row r="110" spans="1:1">
      <c r="A110" s="28"/>
    </row>
    <row r="115" spans="1:1">
      <c r="A115" s="28"/>
    </row>
    <row r="120" spans="1:1">
      <c r="A120" s="28"/>
    </row>
    <row r="142" spans="1:1">
      <c r="A142" s="31"/>
    </row>
    <row r="146" spans="1:1">
      <c r="A146" s="31"/>
    </row>
    <row r="150" spans="1:1">
      <c r="A150" s="31"/>
    </row>
    <row r="154" spans="1:1">
      <c r="A154" s="31"/>
    </row>
    <row r="158" spans="1:1">
      <c r="A158" s="31"/>
    </row>
    <row r="162" spans="1:1">
      <c r="A162" s="31"/>
    </row>
    <row r="166" spans="1:1">
      <c r="A166" s="31"/>
    </row>
    <row r="170" spans="1:1">
      <c r="A170" s="31"/>
    </row>
    <row r="174" spans="1:1">
      <c r="A174" s="31"/>
    </row>
    <row r="178" spans="1:4">
      <c r="A178" s="31"/>
    </row>
    <row r="187" spans="1:4">
      <c r="D187" s="35">
        <v>5</v>
      </c>
    </row>
  </sheetData>
  <conditionalFormatting sqref="F1:F5 F24:F1048576">
    <cfRule type="colorScale" priority="4">
      <colorScale>
        <cfvo type="num" val="&quot;unpaid&quot;"/>
        <cfvo type="max" val="0"/>
        <color rgb="FFFF0000"/>
        <color rgb="FFFFEF9C"/>
      </colorScale>
    </cfRule>
    <cfRule type="colorScale" priority="3">
      <colorScale>
        <cfvo type="num" val="&quot;unpaid&quot;"/>
        <cfvo type="max" val="0"/>
        <color rgb="FFFF0000"/>
        <color rgb="FFFFEF9C"/>
      </colorScale>
    </cfRule>
    <cfRule type="containsText" dxfId="1" priority="2" operator="containsText" text="unpaid">
      <formula>NOT(ISERROR(SEARCH("unpaid",F1)))</formula>
    </cfRule>
  </conditionalFormatting>
  <conditionalFormatting sqref="F1:F1048576">
    <cfRule type="cellIs" dxfId="0" priority="1" operator="equal">
      <formula>"unpaid"</formula>
    </cfRule>
  </conditionalFormatting>
  <dataValidations count="1">
    <dataValidation type="list" allowBlank="1" showInputMessage="1" showErrorMessage="1" sqref="F25">
      <formula1>$U$2:$U$3</formula1>
    </dataValidation>
  </dataValidations>
  <pageMargins left="0.7" right="0.7" top="0.75" bottom="0.75" header="0.3" footer="0.3"/>
  <pageSetup paperSize="9" orientation="portrait" r:id="rId1"/>
  <legacyDrawing r:id="rId2"/>
  <controls>
    <control shapeId="3103" r:id="rId3" name="OptionButton3"/>
    <control shapeId="3102" r:id="rId4" name="OptionButton2"/>
    <control shapeId="3101" r:id="rId5" name="OptionButton1"/>
    <control shapeId="3090" r:id="rId6" name="TextBox3"/>
    <control shapeId="3089" r:id="rId7" name="TextBox2"/>
    <control shapeId="3074" r:id="rId8" name="CommandButton1"/>
    <control shapeId="3087" r:id="rId9" name="TextBox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3"/>
  <dimension ref="A1:Q237"/>
  <sheetViews>
    <sheetView workbookViewId="0">
      <selection activeCell="A30" sqref="A1:E1048576"/>
    </sheetView>
  </sheetViews>
  <sheetFormatPr defaultRowHeight="15"/>
  <cols>
    <col min="1" max="1" width="15.5703125" style="35" bestFit="1" customWidth="1"/>
    <col min="2" max="2" width="13.7109375" style="50" bestFit="1" customWidth="1"/>
    <col min="3" max="3" width="13.7109375" style="35" bestFit="1" customWidth="1"/>
    <col min="4" max="4" width="17.42578125" style="36" bestFit="1" customWidth="1"/>
    <col min="5" max="5" width="20.7109375" style="25" customWidth="1"/>
    <col min="13" max="13" width="10.42578125" bestFit="1" customWidth="1"/>
    <col min="14" max="14" width="13.7109375" bestFit="1" customWidth="1"/>
    <col min="15" max="15" width="7.85546875" bestFit="1" customWidth="1"/>
    <col min="16" max="16" width="11.85546875" bestFit="1" customWidth="1"/>
    <col min="17" max="17" width="15.85546875" bestFit="1" customWidth="1"/>
  </cols>
  <sheetData>
    <row r="1" spans="1:17">
      <c r="A1" s="33" t="s">
        <v>331</v>
      </c>
      <c r="B1" s="34" t="s">
        <v>4</v>
      </c>
      <c r="C1" s="34" t="s">
        <v>332</v>
      </c>
      <c r="D1" s="1" t="s">
        <v>0</v>
      </c>
      <c r="E1" s="2" t="s">
        <v>1</v>
      </c>
      <c r="F1" s="35" t="s">
        <v>351</v>
      </c>
      <c r="J1" s="35" t="s">
        <v>334</v>
      </c>
    </row>
    <row r="2" spans="1:17">
      <c r="A2" s="35" t="s">
        <v>8</v>
      </c>
      <c r="B2" s="50">
        <v>717</v>
      </c>
      <c r="C2" s="35" t="s">
        <v>334</v>
      </c>
      <c r="D2" s="36">
        <v>43831</v>
      </c>
      <c r="E2" s="7">
        <v>43831</v>
      </c>
      <c r="F2" s="35">
        <v>1</v>
      </c>
      <c r="J2" s="35" t="s">
        <v>333</v>
      </c>
    </row>
    <row r="3" spans="1:17">
      <c r="A3" s="35" t="s">
        <v>10</v>
      </c>
      <c r="B3" s="50">
        <v>304.75</v>
      </c>
      <c r="C3" s="35" t="s">
        <v>334</v>
      </c>
      <c r="D3" s="36">
        <v>43831</v>
      </c>
      <c r="E3" s="7">
        <v>43832</v>
      </c>
      <c r="F3" s="35">
        <v>2</v>
      </c>
    </row>
    <row r="4" spans="1:17">
      <c r="A4" s="35" t="s">
        <v>12</v>
      </c>
      <c r="B4" s="50">
        <v>2500</v>
      </c>
      <c r="C4" s="35" t="s">
        <v>334</v>
      </c>
      <c r="D4" s="36">
        <v>43830</v>
      </c>
      <c r="E4" s="7">
        <v>43860</v>
      </c>
      <c r="F4" s="35">
        <v>3</v>
      </c>
    </row>
    <row r="5" spans="1:17">
      <c r="A5" s="35" t="s">
        <v>12</v>
      </c>
      <c r="B5" s="50">
        <v>1875</v>
      </c>
      <c r="C5" s="35" t="s">
        <v>334</v>
      </c>
      <c r="D5" s="36">
        <v>43830</v>
      </c>
      <c r="E5" s="7"/>
      <c r="F5" s="35">
        <v>4</v>
      </c>
    </row>
    <row r="6" spans="1:17">
      <c r="A6" s="35" t="s">
        <v>17</v>
      </c>
      <c r="B6" s="50">
        <v>782.1</v>
      </c>
      <c r="C6" s="35" t="s">
        <v>334</v>
      </c>
      <c r="D6" s="36">
        <v>43830</v>
      </c>
      <c r="E6" s="7">
        <v>43860</v>
      </c>
      <c r="F6" s="35">
        <v>5</v>
      </c>
    </row>
    <row r="7" spans="1:17">
      <c r="A7" s="35" t="s">
        <v>18</v>
      </c>
      <c r="B7" s="50">
        <v>-4429.5302013422815</v>
      </c>
      <c r="C7" s="35" t="s">
        <v>334</v>
      </c>
      <c r="D7" s="36">
        <v>43820</v>
      </c>
      <c r="E7" s="13"/>
      <c r="F7" s="35">
        <v>6</v>
      </c>
      <c r="M7" s="35"/>
      <c r="N7" s="50"/>
      <c r="O7" s="35"/>
      <c r="P7" s="36"/>
      <c r="Q7" s="32"/>
    </row>
    <row r="8" spans="1:17">
      <c r="A8" s="35" t="s">
        <v>18</v>
      </c>
      <c r="B8" s="50">
        <v>273637.58389261749</v>
      </c>
      <c r="C8" s="35" t="s">
        <v>334</v>
      </c>
      <c r="D8" s="36">
        <v>43820</v>
      </c>
      <c r="E8" s="7">
        <v>43834</v>
      </c>
      <c r="F8" s="35">
        <v>7</v>
      </c>
      <c r="M8" s="35"/>
      <c r="N8" s="50"/>
      <c r="O8" s="35"/>
      <c r="P8" s="36"/>
      <c r="Q8" s="32"/>
    </row>
    <row r="9" spans="1:17">
      <c r="A9" s="35" t="s">
        <v>22</v>
      </c>
      <c r="B9" s="50">
        <v>49406.711409395968</v>
      </c>
      <c r="C9" s="35" t="s">
        <v>334</v>
      </c>
      <c r="D9" s="36">
        <v>43822</v>
      </c>
      <c r="E9" s="7">
        <v>43852</v>
      </c>
      <c r="F9" s="35">
        <v>8</v>
      </c>
      <c r="M9" s="35"/>
      <c r="N9" s="50"/>
      <c r="O9" s="35"/>
      <c r="P9" s="36"/>
      <c r="Q9" s="32"/>
    </row>
    <row r="10" spans="1:17">
      <c r="A10" s="35" t="s">
        <v>22</v>
      </c>
      <c r="B10" s="50">
        <v>27704.697986577179</v>
      </c>
      <c r="C10" s="35" t="s">
        <v>334</v>
      </c>
      <c r="D10" s="36">
        <v>43822</v>
      </c>
      <c r="E10" s="19">
        <v>43852</v>
      </c>
      <c r="F10" s="35">
        <v>9</v>
      </c>
      <c r="M10" s="35"/>
      <c r="N10" s="50"/>
      <c r="O10" s="35"/>
      <c r="P10" s="36"/>
      <c r="Q10" s="32"/>
    </row>
    <row r="11" spans="1:17">
      <c r="A11" s="35" t="s">
        <v>25</v>
      </c>
      <c r="B11" s="50">
        <v>30675.615212527966</v>
      </c>
      <c r="C11" s="35" t="s">
        <v>334</v>
      </c>
      <c r="D11" s="36">
        <v>43826</v>
      </c>
      <c r="E11" s="7">
        <v>43866</v>
      </c>
      <c r="F11" s="35">
        <v>10</v>
      </c>
    </row>
    <row r="12" spans="1:17">
      <c r="A12" s="35" t="s">
        <v>25</v>
      </c>
      <c r="B12" s="50">
        <v>53452.274422073082</v>
      </c>
      <c r="C12" s="35" t="s">
        <v>334</v>
      </c>
      <c r="D12" s="36">
        <v>43826</v>
      </c>
      <c r="E12" s="7">
        <v>43866</v>
      </c>
      <c r="F12" s="35">
        <v>11</v>
      </c>
    </row>
    <row r="13" spans="1:17">
      <c r="A13" s="35" t="s">
        <v>28</v>
      </c>
      <c r="B13" s="50">
        <v>21554.80984340045</v>
      </c>
      <c r="C13" s="35" t="s">
        <v>334</v>
      </c>
      <c r="D13" s="36">
        <v>43822</v>
      </c>
      <c r="E13" s="7">
        <v>43853</v>
      </c>
      <c r="F13" s="35">
        <v>12</v>
      </c>
    </row>
    <row r="14" spans="1:17">
      <c r="A14" s="35" t="s">
        <v>29</v>
      </c>
      <c r="B14" s="50">
        <v>23534.675615212527</v>
      </c>
      <c r="C14" s="35" t="s">
        <v>334</v>
      </c>
      <c r="D14" s="36">
        <v>43823</v>
      </c>
      <c r="E14" s="20">
        <v>43844</v>
      </c>
      <c r="F14" s="35">
        <v>13</v>
      </c>
    </row>
    <row r="15" spans="1:17">
      <c r="A15" s="35" t="s">
        <v>31</v>
      </c>
      <c r="B15" s="50">
        <v>50111.856823266222</v>
      </c>
      <c r="C15" s="35" t="s">
        <v>334</v>
      </c>
      <c r="D15" s="36">
        <v>43819</v>
      </c>
      <c r="E15" s="7">
        <v>43850</v>
      </c>
      <c r="F15" s="35">
        <v>14</v>
      </c>
    </row>
    <row r="16" spans="1:17">
      <c r="A16" s="35" t="s">
        <v>33</v>
      </c>
      <c r="B16" s="50">
        <v>739.08</v>
      </c>
      <c r="C16" s="35" t="s">
        <v>334</v>
      </c>
      <c r="D16" s="36">
        <v>43819</v>
      </c>
      <c r="E16" s="7">
        <v>43826</v>
      </c>
      <c r="F16" s="35">
        <v>15</v>
      </c>
    </row>
    <row r="17" spans="1:6">
      <c r="A17" s="35" t="s">
        <v>34</v>
      </c>
      <c r="B17" s="50">
        <v>20875</v>
      </c>
      <c r="C17" s="35" t="s">
        <v>334</v>
      </c>
      <c r="D17" s="36">
        <v>43833</v>
      </c>
      <c r="E17" s="7">
        <v>43863</v>
      </c>
      <c r="F17" s="35">
        <v>16</v>
      </c>
    </row>
    <row r="18" spans="1:6">
      <c r="A18" s="35" t="s">
        <v>36</v>
      </c>
      <c r="B18" s="50">
        <v>96727.73</v>
      </c>
      <c r="C18" s="35" t="s">
        <v>334</v>
      </c>
      <c r="D18" s="36">
        <v>43830</v>
      </c>
      <c r="E18" s="8" t="s">
        <v>35</v>
      </c>
      <c r="F18" s="35">
        <v>17</v>
      </c>
    </row>
    <row r="19" spans="1:6">
      <c r="A19" s="35" t="s">
        <v>37</v>
      </c>
      <c r="B19" s="50">
        <v>2621.25</v>
      </c>
      <c r="C19" s="35" t="s">
        <v>334</v>
      </c>
      <c r="D19" s="36">
        <v>43832</v>
      </c>
      <c r="E19" s="7">
        <v>43840</v>
      </c>
      <c r="F19" s="35">
        <v>18</v>
      </c>
    </row>
    <row r="20" spans="1:6">
      <c r="A20" s="35" t="s">
        <v>38</v>
      </c>
      <c r="B20" s="50">
        <v>848.29</v>
      </c>
      <c r="C20" s="35" t="s">
        <v>334</v>
      </c>
      <c r="D20" s="36">
        <v>43829</v>
      </c>
      <c r="E20" s="7">
        <v>43843</v>
      </c>
      <c r="F20" s="35">
        <v>19</v>
      </c>
    </row>
    <row r="21" spans="1:6">
      <c r="A21" s="35" t="s">
        <v>40</v>
      </c>
      <c r="B21" s="50">
        <v>5807.51</v>
      </c>
      <c r="C21" s="35" t="s">
        <v>334</v>
      </c>
      <c r="D21" s="36">
        <v>43829</v>
      </c>
      <c r="E21" s="7">
        <v>43837</v>
      </c>
      <c r="F21" s="35">
        <v>20</v>
      </c>
    </row>
    <row r="22" spans="1:6">
      <c r="A22" s="35" t="s">
        <v>40</v>
      </c>
      <c r="B22" s="50">
        <v>7646.94</v>
      </c>
      <c r="C22" s="35" t="s">
        <v>334</v>
      </c>
      <c r="D22" s="36">
        <v>43829</v>
      </c>
      <c r="E22" s="7">
        <v>43837</v>
      </c>
      <c r="F22" s="35">
        <v>21</v>
      </c>
    </row>
    <row r="23" spans="1:6">
      <c r="A23" s="35" t="s">
        <v>40</v>
      </c>
      <c r="B23" s="50">
        <v>2125.63</v>
      </c>
      <c r="C23" s="35" t="s">
        <v>334</v>
      </c>
      <c r="D23" s="36">
        <v>43829</v>
      </c>
      <c r="E23" s="7">
        <v>43837</v>
      </c>
      <c r="F23" s="35">
        <v>22</v>
      </c>
    </row>
    <row r="24" spans="1:6">
      <c r="A24" s="35" t="s">
        <v>40</v>
      </c>
      <c r="B24" s="50">
        <v>6615</v>
      </c>
      <c r="C24" s="35" t="s">
        <v>334</v>
      </c>
      <c r="D24" s="36">
        <v>43829</v>
      </c>
      <c r="E24" s="7">
        <v>43837</v>
      </c>
      <c r="F24" s="35">
        <v>23</v>
      </c>
    </row>
    <row r="25" spans="1:6">
      <c r="A25" s="35" t="s">
        <v>29</v>
      </c>
      <c r="B25" s="50">
        <v>32960.477255779268</v>
      </c>
      <c r="C25" s="35" t="s">
        <v>334</v>
      </c>
      <c r="D25" s="36">
        <v>43830</v>
      </c>
      <c r="E25" s="7">
        <v>43844</v>
      </c>
      <c r="F25" s="35">
        <v>24</v>
      </c>
    </row>
    <row r="26" spans="1:6">
      <c r="A26" s="35" t="s">
        <v>12</v>
      </c>
      <c r="B26" s="50">
        <v>2625</v>
      </c>
      <c r="C26" s="35" t="s">
        <v>334</v>
      </c>
      <c r="D26" s="36">
        <v>43830</v>
      </c>
      <c r="E26" s="7">
        <v>43860</v>
      </c>
      <c r="F26" s="35">
        <v>25</v>
      </c>
    </row>
    <row r="27" spans="1:6">
      <c r="A27" s="35" t="s">
        <v>12</v>
      </c>
      <c r="B27" s="50">
        <v>1268.75</v>
      </c>
      <c r="C27" s="35" t="s">
        <v>334</v>
      </c>
      <c r="D27" s="36">
        <v>43826</v>
      </c>
      <c r="E27" s="7">
        <v>43860</v>
      </c>
      <c r="F27" s="35">
        <v>26</v>
      </c>
    </row>
    <row r="28" spans="1:6">
      <c r="A28" s="35" t="s">
        <v>12</v>
      </c>
      <c r="B28" s="50">
        <v>634.38</v>
      </c>
      <c r="C28" s="35" t="s">
        <v>334</v>
      </c>
      <c r="D28" s="36">
        <v>43826</v>
      </c>
      <c r="E28" s="7">
        <v>43860</v>
      </c>
      <c r="F28" s="35">
        <v>27</v>
      </c>
    </row>
    <row r="29" spans="1:6">
      <c r="A29" s="35" t="s">
        <v>46</v>
      </c>
      <c r="B29" s="50">
        <v>12000</v>
      </c>
      <c r="C29" s="35" t="s">
        <v>334</v>
      </c>
      <c r="D29" s="36">
        <v>43817</v>
      </c>
      <c r="E29" s="7">
        <v>43831</v>
      </c>
      <c r="F29" s="35">
        <v>28</v>
      </c>
    </row>
    <row r="30" spans="1:6">
      <c r="A30" s="35" t="s">
        <v>47</v>
      </c>
      <c r="B30" s="50">
        <v>11862.5</v>
      </c>
      <c r="C30" s="35" t="s">
        <v>334</v>
      </c>
      <c r="D30" s="36">
        <v>43822</v>
      </c>
      <c r="E30" s="7">
        <v>43832</v>
      </c>
      <c r="F30" s="35">
        <v>29</v>
      </c>
    </row>
    <row r="31" spans="1:6">
      <c r="A31" s="35" t="s">
        <v>48</v>
      </c>
      <c r="B31" s="50">
        <v>2400</v>
      </c>
      <c r="C31" s="35" t="s">
        <v>334</v>
      </c>
      <c r="D31" s="36">
        <v>43825</v>
      </c>
      <c r="E31" s="7">
        <v>43833</v>
      </c>
      <c r="F31" s="35">
        <v>30</v>
      </c>
    </row>
    <row r="32" spans="1:6">
      <c r="A32" s="35" t="s">
        <v>49</v>
      </c>
      <c r="B32" s="50">
        <v>1384</v>
      </c>
      <c r="C32" s="35" t="s">
        <v>334</v>
      </c>
      <c r="D32" s="36">
        <v>43821</v>
      </c>
      <c r="E32" s="7">
        <v>43826</v>
      </c>
      <c r="F32" s="35">
        <v>31</v>
      </c>
    </row>
    <row r="33" spans="1:6">
      <c r="A33" s="35" t="s">
        <v>49</v>
      </c>
      <c r="B33" s="50">
        <v>328.75</v>
      </c>
      <c r="C33" s="35" t="s">
        <v>334</v>
      </c>
      <c r="D33" s="36">
        <v>43831</v>
      </c>
      <c r="E33" s="7">
        <v>43840</v>
      </c>
      <c r="F33" s="35">
        <v>32</v>
      </c>
    </row>
    <row r="34" spans="1:6">
      <c r="A34" s="35" t="s">
        <v>10</v>
      </c>
      <c r="B34" s="50">
        <v>304.75</v>
      </c>
      <c r="C34" s="35" t="s">
        <v>334</v>
      </c>
      <c r="D34" s="36">
        <v>43831</v>
      </c>
      <c r="E34" s="7">
        <v>43832</v>
      </c>
      <c r="F34" s="35">
        <v>33</v>
      </c>
    </row>
    <row r="35" spans="1:6">
      <c r="A35" s="35" t="s">
        <v>51</v>
      </c>
      <c r="B35" s="50">
        <v>314.75</v>
      </c>
      <c r="C35" s="35" t="s">
        <v>334</v>
      </c>
      <c r="D35" s="36">
        <v>43805</v>
      </c>
      <c r="E35" s="7">
        <v>43861</v>
      </c>
      <c r="F35" s="35">
        <v>34</v>
      </c>
    </row>
    <row r="36" spans="1:6">
      <c r="A36" s="35" t="s">
        <v>52</v>
      </c>
      <c r="B36" s="50">
        <v>311.25</v>
      </c>
      <c r="C36" s="35" t="s">
        <v>334</v>
      </c>
      <c r="D36" s="36">
        <v>43812</v>
      </c>
      <c r="E36" s="7">
        <v>43842</v>
      </c>
      <c r="F36" s="35">
        <v>35</v>
      </c>
    </row>
    <row r="37" spans="1:6">
      <c r="A37" s="35" t="s">
        <v>53</v>
      </c>
      <c r="B37" s="50">
        <v>2970</v>
      </c>
      <c r="C37" s="35" t="s">
        <v>334</v>
      </c>
      <c r="D37" s="36">
        <v>43817</v>
      </c>
      <c r="E37" s="7">
        <v>43825</v>
      </c>
      <c r="F37" s="35">
        <v>36</v>
      </c>
    </row>
    <row r="38" spans="1:6">
      <c r="A38" s="35" t="s">
        <v>54</v>
      </c>
      <c r="B38" s="50">
        <v>3728.5607755406413</v>
      </c>
      <c r="C38" s="35" t="s">
        <v>333</v>
      </c>
      <c r="D38" s="36">
        <v>43822</v>
      </c>
      <c r="E38" s="7">
        <v>43852</v>
      </c>
      <c r="F38" s="35">
        <v>37</v>
      </c>
    </row>
    <row r="39" spans="1:6">
      <c r="A39" s="35" t="s">
        <v>54</v>
      </c>
      <c r="B39" s="50">
        <v>3728.5607755406413</v>
      </c>
      <c r="C39" s="35" t="s">
        <v>334</v>
      </c>
      <c r="D39" s="36">
        <v>43822</v>
      </c>
      <c r="E39" s="7">
        <v>43852</v>
      </c>
      <c r="F39" s="35">
        <v>38</v>
      </c>
    </row>
    <row r="40" spans="1:6">
      <c r="A40" s="35" t="s">
        <v>12</v>
      </c>
      <c r="B40" s="50">
        <v>3056.25</v>
      </c>
      <c r="C40" s="35" t="s">
        <v>334</v>
      </c>
      <c r="D40" s="36">
        <v>43818</v>
      </c>
      <c r="E40" s="7">
        <v>43860</v>
      </c>
      <c r="F40" s="35">
        <v>39</v>
      </c>
    </row>
    <row r="41" spans="1:6">
      <c r="A41" s="35" t="s">
        <v>25</v>
      </c>
      <c r="B41" s="50">
        <v>14037.583892617451</v>
      </c>
      <c r="C41" s="35" t="s">
        <v>334</v>
      </c>
      <c r="D41" s="36">
        <v>43816</v>
      </c>
      <c r="E41" s="7">
        <v>43856</v>
      </c>
      <c r="F41" s="35">
        <v>40</v>
      </c>
    </row>
    <row r="42" spans="1:6">
      <c r="A42" s="35" t="s">
        <v>59</v>
      </c>
      <c r="B42" s="50">
        <v>6328.13</v>
      </c>
      <c r="C42" s="35" t="s">
        <v>334</v>
      </c>
      <c r="D42" s="36">
        <v>43817</v>
      </c>
      <c r="E42" s="7">
        <v>43860</v>
      </c>
      <c r="F42" s="35">
        <v>41</v>
      </c>
    </row>
    <row r="43" spans="1:6">
      <c r="A43" s="35" t="s">
        <v>59</v>
      </c>
      <c r="B43" s="50">
        <v>1687.5</v>
      </c>
      <c r="C43" s="35" t="s">
        <v>334</v>
      </c>
      <c r="D43" s="36">
        <v>43829</v>
      </c>
      <c r="E43" s="7">
        <v>43860</v>
      </c>
      <c r="F43" s="35">
        <v>42</v>
      </c>
    </row>
    <row r="44" spans="1:6">
      <c r="A44" s="35" t="s">
        <v>54</v>
      </c>
      <c r="B44" s="50">
        <v>20507.084265473528</v>
      </c>
      <c r="C44" s="35" t="s">
        <v>334</v>
      </c>
      <c r="D44" s="36">
        <v>43826</v>
      </c>
      <c r="E44" s="7">
        <v>43856</v>
      </c>
      <c r="F44" s="35">
        <v>43</v>
      </c>
    </row>
    <row r="45" spans="1:6">
      <c r="A45" s="35" t="s">
        <v>54</v>
      </c>
      <c r="B45" s="50">
        <v>9321.4019388516026</v>
      </c>
      <c r="C45" s="35" t="s">
        <v>334</v>
      </c>
      <c r="D45" s="36">
        <v>43826</v>
      </c>
      <c r="E45" s="7">
        <v>43856</v>
      </c>
      <c r="F45" s="35">
        <v>44</v>
      </c>
    </row>
    <row r="46" spans="1:6">
      <c r="A46" s="35" t="s">
        <v>12</v>
      </c>
      <c r="B46" s="50">
        <v>2546.88</v>
      </c>
      <c r="C46" s="35" t="s">
        <v>334</v>
      </c>
      <c r="D46" s="36">
        <v>43822</v>
      </c>
      <c r="E46" s="7">
        <v>43860</v>
      </c>
      <c r="F46" s="35">
        <v>45</v>
      </c>
    </row>
    <row r="47" spans="1:6">
      <c r="A47" s="35" t="s">
        <v>12</v>
      </c>
      <c r="B47" s="50">
        <v>3750</v>
      </c>
      <c r="C47" s="35" t="s">
        <v>334</v>
      </c>
      <c r="D47" s="36">
        <v>43819</v>
      </c>
      <c r="E47" s="7">
        <v>43860</v>
      </c>
      <c r="F47" s="35">
        <v>46</v>
      </c>
    </row>
    <row r="48" spans="1:6">
      <c r="A48" s="35" t="s">
        <v>36</v>
      </c>
      <c r="B48" s="50">
        <v>-10875</v>
      </c>
      <c r="C48" s="35" t="s">
        <v>333</v>
      </c>
      <c r="D48" s="36">
        <v>43830</v>
      </c>
      <c r="E48" s="14" t="s">
        <v>66</v>
      </c>
      <c r="F48" s="35">
        <v>47</v>
      </c>
    </row>
    <row r="49" spans="1:6">
      <c r="A49" s="35" t="s">
        <v>68</v>
      </c>
      <c r="B49" s="50">
        <v>550</v>
      </c>
      <c r="C49" s="35" t="s">
        <v>334</v>
      </c>
      <c r="D49" s="36">
        <v>43830</v>
      </c>
      <c r="E49" s="7">
        <v>43838</v>
      </c>
      <c r="F49" s="35">
        <v>48</v>
      </c>
    </row>
    <row r="50" spans="1:6">
      <c r="A50" s="35" t="s">
        <v>38</v>
      </c>
      <c r="B50" s="50">
        <v>856.76</v>
      </c>
      <c r="C50" s="35" t="s">
        <v>334</v>
      </c>
      <c r="D50" s="36">
        <v>43836</v>
      </c>
      <c r="E50" s="7">
        <v>43850</v>
      </c>
      <c r="F50" s="35">
        <v>49</v>
      </c>
    </row>
    <row r="51" spans="1:6">
      <c r="A51" s="35" t="s">
        <v>29</v>
      </c>
      <c r="B51" s="50">
        <v>21834.451901565997</v>
      </c>
      <c r="C51" s="35" t="s">
        <v>334</v>
      </c>
      <c r="D51" s="36">
        <v>43833</v>
      </c>
      <c r="E51" s="7">
        <v>43854</v>
      </c>
      <c r="F51" s="35">
        <v>50</v>
      </c>
    </row>
    <row r="52" spans="1:6">
      <c r="A52" s="35" t="s">
        <v>70</v>
      </c>
      <c r="B52" s="50">
        <v>11900</v>
      </c>
      <c r="C52" s="35" t="s">
        <v>334</v>
      </c>
      <c r="D52" s="36">
        <v>43836</v>
      </c>
      <c r="E52" s="7">
        <v>43856</v>
      </c>
      <c r="F52" s="35">
        <v>51</v>
      </c>
    </row>
    <row r="53" spans="1:6">
      <c r="A53" s="35" t="s">
        <v>70</v>
      </c>
      <c r="B53" s="50">
        <v>980</v>
      </c>
      <c r="C53" s="35" t="s">
        <v>334</v>
      </c>
      <c r="D53" s="36">
        <v>43836</v>
      </c>
      <c r="E53" s="7">
        <v>43856</v>
      </c>
      <c r="F53" s="35">
        <v>52</v>
      </c>
    </row>
    <row r="54" spans="1:6">
      <c r="A54" s="35" t="s">
        <v>70</v>
      </c>
      <c r="B54" s="50">
        <v>2968</v>
      </c>
      <c r="C54" s="35" t="s">
        <v>334</v>
      </c>
      <c r="D54" s="36">
        <v>43836</v>
      </c>
      <c r="E54" s="7">
        <v>43856</v>
      </c>
      <c r="F54" s="35">
        <v>53</v>
      </c>
    </row>
    <row r="55" spans="1:6">
      <c r="A55" s="35" t="s">
        <v>70</v>
      </c>
      <c r="B55" s="50">
        <v>4900</v>
      </c>
      <c r="C55" s="35" t="s">
        <v>334</v>
      </c>
      <c r="D55" s="36">
        <v>43836</v>
      </c>
      <c r="E55" s="7">
        <v>43856</v>
      </c>
      <c r="F55" s="35">
        <v>54</v>
      </c>
    </row>
    <row r="56" spans="1:6">
      <c r="A56" s="35" t="s">
        <v>70</v>
      </c>
      <c r="B56" s="50">
        <v>1015</v>
      </c>
      <c r="C56" s="35" t="s">
        <v>334</v>
      </c>
      <c r="D56" s="36">
        <v>43836</v>
      </c>
      <c r="E56" s="7">
        <v>43856</v>
      </c>
      <c r="F56" s="35">
        <v>55</v>
      </c>
    </row>
    <row r="57" spans="1:6">
      <c r="A57" s="35" t="s">
        <v>12</v>
      </c>
      <c r="B57" s="50">
        <v>32490.68</v>
      </c>
      <c r="C57" s="35" t="s">
        <v>334</v>
      </c>
      <c r="D57" s="36">
        <v>43830</v>
      </c>
      <c r="E57" s="7">
        <v>43860</v>
      </c>
      <c r="F57" s="35">
        <v>56</v>
      </c>
    </row>
    <row r="58" spans="1:6">
      <c r="A58" s="35" t="s">
        <v>70</v>
      </c>
      <c r="B58" s="50">
        <v>980</v>
      </c>
      <c r="C58" s="35" t="s">
        <v>334</v>
      </c>
      <c r="D58" s="36">
        <v>43836</v>
      </c>
      <c r="E58" s="7">
        <v>43856</v>
      </c>
      <c r="F58" s="35">
        <v>57</v>
      </c>
    </row>
    <row r="59" spans="1:6">
      <c r="A59" s="35" t="s">
        <v>70</v>
      </c>
      <c r="B59" s="50">
        <v>1015</v>
      </c>
      <c r="C59" s="35" t="s">
        <v>334</v>
      </c>
      <c r="D59" s="36">
        <v>43836</v>
      </c>
      <c r="E59" s="7">
        <v>43856</v>
      </c>
      <c r="F59" s="35">
        <v>58</v>
      </c>
    </row>
    <row r="60" spans="1:6">
      <c r="A60" s="35" t="s">
        <v>72</v>
      </c>
      <c r="B60" s="50">
        <v>28280.34</v>
      </c>
      <c r="C60" s="35" t="s">
        <v>334</v>
      </c>
      <c r="D60" s="36">
        <v>43805</v>
      </c>
      <c r="E60" s="7">
        <v>43836</v>
      </c>
      <c r="F60" s="35">
        <v>59</v>
      </c>
    </row>
    <row r="61" spans="1:6">
      <c r="A61" s="35" t="s">
        <v>73</v>
      </c>
      <c r="B61" s="50">
        <v>1875</v>
      </c>
      <c r="C61" s="35" t="s">
        <v>334</v>
      </c>
      <c r="D61" s="36">
        <v>43832</v>
      </c>
      <c r="E61" s="7">
        <v>43840</v>
      </c>
      <c r="F61" s="35">
        <v>60</v>
      </c>
    </row>
    <row r="62" spans="1:6">
      <c r="A62" s="35" t="s">
        <v>74</v>
      </c>
      <c r="B62" s="50">
        <v>3125</v>
      </c>
      <c r="C62" s="35" t="s">
        <v>334</v>
      </c>
      <c r="D62" s="36">
        <v>43836</v>
      </c>
      <c r="E62" s="7">
        <v>43846</v>
      </c>
      <c r="F62" s="35">
        <v>61</v>
      </c>
    </row>
    <row r="63" spans="1:6">
      <c r="A63" s="35" t="s">
        <v>70</v>
      </c>
      <c r="B63" s="50">
        <v>10080</v>
      </c>
      <c r="C63" s="35" t="s">
        <v>334</v>
      </c>
      <c r="D63" s="36">
        <v>43836</v>
      </c>
      <c r="E63" s="7">
        <v>43856</v>
      </c>
      <c r="F63" s="35">
        <v>62</v>
      </c>
    </row>
    <row r="64" spans="1:6">
      <c r="A64" s="35" t="s">
        <v>49</v>
      </c>
      <c r="B64" s="50">
        <v>660</v>
      </c>
      <c r="C64" s="35" t="s">
        <v>334</v>
      </c>
      <c r="D64" s="36">
        <v>43830</v>
      </c>
      <c r="E64" s="7">
        <v>43835</v>
      </c>
      <c r="F64" s="35">
        <v>63</v>
      </c>
    </row>
    <row r="65" spans="1:6">
      <c r="A65" s="35" t="s">
        <v>75</v>
      </c>
      <c r="B65" s="50">
        <v>767.13</v>
      </c>
      <c r="C65" s="35" t="s">
        <v>334</v>
      </c>
      <c r="D65" s="36">
        <v>43827</v>
      </c>
      <c r="E65" s="7">
        <v>43832</v>
      </c>
      <c r="F65" s="35">
        <v>64</v>
      </c>
    </row>
    <row r="66" spans="1:6">
      <c r="A66" s="35" t="s">
        <v>59</v>
      </c>
      <c r="B66" s="50">
        <v>13246</v>
      </c>
      <c r="C66" s="35" t="s">
        <v>334</v>
      </c>
      <c r="D66" s="36">
        <v>43830</v>
      </c>
      <c r="E66" s="7">
        <v>43844</v>
      </c>
      <c r="F66" s="35">
        <v>65</v>
      </c>
    </row>
    <row r="67" spans="1:6">
      <c r="A67" s="35" t="s">
        <v>59</v>
      </c>
      <c r="B67" s="50">
        <v>1575</v>
      </c>
      <c r="C67" s="35" t="s">
        <v>334</v>
      </c>
      <c r="D67" s="36">
        <v>43837</v>
      </c>
      <c r="E67" s="7">
        <v>43857</v>
      </c>
      <c r="F67" s="35">
        <v>66</v>
      </c>
    </row>
    <row r="68" spans="1:6">
      <c r="A68" s="35" t="s">
        <v>36</v>
      </c>
      <c r="B68" s="50">
        <v>224.24</v>
      </c>
      <c r="C68" s="35" t="s">
        <v>334</v>
      </c>
      <c r="D68" s="36">
        <v>43830</v>
      </c>
      <c r="E68" s="7">
        <v>43876</v>
      </c>
      <c r="F68" s="35">
        <v>67</v>
      </c>
    </row>
    <row r="69" spans="1:6">
      <c r="A69" s="35" t="s">
        <v>36</v>
      </c>
      <c r="B69" s="50">
        <v>270.70999999999998</v>
      </c>
      <c r="C69" s="35" t="s">
        <v>334</v>
      </c>
      <c r="D69" s="36">
        <v>43830</v>
      </c>
      <c r="E69" s="7">
        <v>43876</v>
      </c>
      <c r="F69" s="35">
        <v>68</v>
      </c>
    </row>
    <row r="70" spans="1:6">
      <c r="A70" s="35" t="s">
        <v>12</v>
      </c>
      <c r="B70" s="50">
        <v>12710.79</v>
      </c>
      <c r="C70" s="35" t="s">
        <v>334</v>
      </c>
      <c r="D70" s="36">
        <v>43830</v>
      </c>
      <c r="E70" s="7">
        <v>43860</v>
      </c>
      <c r="F70" s="35">
        <v>69</v>
      </c>
    </row>
    <row r="71" spans="1:6">
      <c r="A71" s="35" t="s">
        <v>25</v>
      </c>
      <c r="B71" s="50">
        <v>49327.218493661443</v>
      </c>
      <c r="C71" s="35" t="s">
        <v>334</v>
      </c>
      <c r="D71" s="36">
        <v>43832</v>
      </c>
      <c r="E71" s="7">
        <v>43872</v>
      </c>
      <c r="F71" s="35">
        <v>70</v>
      </c>
    </row>
    <row r="72" spans="1:6">
      <c r="A72" s="35" t="s">
        <v>59</v>
      </c>
      <c r="B72" s="50">
        <v>4021.9239373601795</v>
      </c>
      <c r="C72" s="35" t="s">
        <v>334</v>
      </c>
      <c r="D72" s="36">
        <v>43832</v>
      </c>
      <c r="E72" s="7">
        <v>43872</v>
      </c>
      <c r="F72" s="35">
        <v>71</v>
      </c>
    </row>
    <row r="73" spans="1:6">
      <c r="A73" s="35" t="s">
        <v>59</v>
      </c>
      <c r="B73" s="50">
        <v>3606.1894108873976</v>
      </c>
      <c r="C73" s="35" t="s">
        <v>334</v>
      </c>
      <c r="D73" s="36">
        <v>43832</v>
      </c>
      <c r="E73" s="7">
        <v>43872</v>
      </c>
      <c r="F73" s="35">
        <v>72</v>
      </c>
    </row>
    <row r="74" spans="1:6">
      <c r="A74" s="35" t="s">
        <v>59</v>
      </c>
      <c r="B74" s="50">
        <v>4808.2774049217005</v>
      </c>
      <c r="C74" s="35" t="s">
        <v>334</v>
      </c>
      <c r="D74" s="36">
        <v>43832</v>
      </c>
      <c r="E74" s="7">
        <v>43872</v>
      </c>
      <c r="F74" s="35">
        <v>73</v>
      </c>
    </row>
    <row r="75" spans="1:6">
      <c r="A75" s="35" t="s">
        <v>25</v>
      </c>
      <c r="B75" s="50">
        <v>60161.073825503358</v>
      </c>
      <c r="C75" s="35" t="s">
        <v>334</v>
      </c>
      <c r="D75" s="36">
        <v>43832</v>
      </c>
      <c r="E75" s="7">
        <v>43872</v>
      </c>
      <c r="F75" s="35">
        <v>74</v>
      </c>
    </row>
    <row r="76" spans="1:6">
      <c r="A76" s="35" t="s">
        <v>25</v>
      </c>
      <c r="B76" s="50">
        <v>8021.4765100671148</v>
      </c>
      <c r="C76" s="35" t="s">
        <v>334</v>
      </c>
      <c r="D76" s="36">
        <v>43832</v>
      </c>
      <c r="E76" s="7">
        <v>43872</v>
      </c>
      <c r="F76" s="35">
        <v>75</v>
      </c>
    </row>
    <row r="77" spans="1:6">
      <c r="A77" s="35" t="s">
        <v>59</v>
      </c>
      <c r="B77" s="50">
        <v>12032.214765100671</v>
      </c>
      <c r="C77" s="35" t="s">
        <v>334</v>
      </c>
      <c r="D77" s="36">
        <v>43832</v>
      </c>
      <c r="E77" s="7">
        <v>43872</v>
      </c>
      <c r="F77" s="35">
        <v>76</v>
      </c>
    </row>
    <row r="78" spans="1:6">
      <c r="A78" s="35" t="s">
        <v>12</v>
      </c>
      <c r="B78" s="50">
        <v>23229.98</v>
      </c>
      <c r="C78" s="35" t="s">
        <v>334</v>
      </c>
      <c r="D78" s="36">
        <v>43830</v>
      </c>
      <c r="E78" s="7">
        <v>43860</v>
      </c>
      <c r="F78" s="35">
        <v>77</v>
      </c>
    </row>
    <row r="79" spans="1:6">
      <c r="A79" s="35" t="s">
        <v>12</v>
      </c>
      <c r="B79" s="50">
        <v>1715.63</v>
      </c>
      <c r="C79" s="35" t="s">
        <v>334</v>
      </c>
      <c r="D79" s="36">
        <v>43830</v>
      </c>
      <c r="E79" s="7">
        <v>43860</v>
      </c>
      <c r="F79" s="35">
        <v>78</v>
      </c>
    </row>
    <row r="80" spans="1:6">
      <c r="A80" s="35" t="s">
        <v>12</v>
      </c>
      <c r="B80" s="50">
        <v>1268.75</v>
      </c>
      <c r="C80" s="35" t="s">
        <v>334</v>
      </c>
      <c r="D80" s="36">
        <v>43836</v>
      </c>
      <c r="E80" s="21">
        <v>43891</v>
      </c>
      <c r="F80" s="35">
        <v>79</v>
      </c>
    </row>
    <row r="81" spans="1:6">
      <c r="A81" s="35" t="s">
        <v>70</v>
      </c>
      <c r="B81" s="50">
        <v>2280</v>
      </c>
      <c r="C81" s="35" t="s">
        <v>334</v>
      </c>
      <c r="D81" s="36">
        <v>43838</v>
      </c>
      <c r="E81" s="7">
        <v>43858</v>
      </c>
      <c r="F81" s="35">
        <v>80</v>
      </c>
    </row>
    <row r="82" spans="1:6">
      <c r="A82" s="35" t="s">
        <v>70</v>
      </c>
      <c r="B82" s="50">
        <v>570</v>
      </c>
      <c r="C82" s="35" t="s">
        <v>334</v>
      </c>
      <c r="D82" s="36">
        <v>43838</v>
      </c>
      <c r="E82" s="7">
        <v>43858</v>
      </c>
      <c r="F82" s="35">
        <v>81</v>
      </c>
    </row>
    <row r="83" spans="1:6">
      <c r="A83" s="35" t="s">
        <v>70</v>
      </c>
      <c r="B83" s="50">
        <v>570</v>
      </c>
      <c r="C83" s="35" t="s">
        <v>334</v>
      </c>
      <c r="D83" s="36">
        <v>43838</v>
      </c>
      <c r="E83" s="7">
        <v>43858</v>
      </c>
      <c r="F83" s="35">
        <v>82</v>
      </c>
    </row>
    <row r="84" spans="1:6">
      <c r="A84" s="35" t="s">
        <v>70</v>
      </c>
      <c r="B84" s="50">
        <v>3613.8</v>
      </c>
      <c r="C84" s="35" t="s">
        <v>334</v>
      </c>
      <c r="D84" s="36">
        <v>43838</v>
      </c>
      <c r="E84" s="7">
        <v>43858</v>
      </c>
      <c r="F84" s="35">
        <v>83</v>
      </c>
    </row>
    <row r="85" spans="1:6">
      <c r="A85" s="35" t="s">
        <v>70</v>
      </c>
      <c r="B85" s="50">
        <v>570</v>
      </c>
      <c r="C85" s="35" t="s">
        <v>334</v>
      </c>
      <c r="D85" s="36">
        <v>43838</v>
      </c>
      <c r="E85" s="7">
        <v>43858</v>
      </c>
      <c r="F85" s="35">
        <v>84</v>
      </c>
    </row>
    <row r="86" spans="1:6">
      <c r="A86" s="35" t="s">
        <v>70</v>
      </c>
      <c r="B86" s="50">
        <v>570</v>
      </c>
      <c r="C86" s="35" t="s">
        <v>334</v>
      </c>
      <c r="D86" s="36">
        <v>43838</v>
      </c>
      <c r="E86" s="7">
        <v>43858</v>
      </c>
      <c r="F86" s="35">
        <v>85</v>
      </c>
    </row>
    <row r="87" spans="1:6">
      <c r="A87" s="35" t="s">
        <v>70</v>
      </c>
      <c r="B87" s="50">
        <v>1710</v>
      </c>
      <c r="C87" s="35" t="s">
        <v>334</v>
      </c>
      <c r="D87" s="36">
        <v>43838</v>
      </c>
      <c r="E87" s="7">
        <v>43858</v>
      </c>
      <c r="F87" s="35">
        <v>86</v>
      </c>
    </row>
    <row r="88" spans="1:6">
      <c r="A88" s="35" t="s">
        <v>12</v>
      </c>
      <c r="B88" s="50">
        <v>1175</v>
      </c>
      <c r="C88" s="35" t="s">
        <v>334</v>
      </c>
      <c r="D88" s="36">
        <v>43838</v>
      </c>
      <c r="E88" s="7">
        <v>43891</v>
      </c>
      <c r="F88" s="35">
        <v>87</v>
      </c>
    </row>
    <row r="89" spans="1:6">
      <c r="A89" s="35" t="s">
        <v>12</v>
      </c>
      <c r="B89" s="50">
        <v>2812.5</v>
      </c>
      <c r="C89" s="35" t="s">
        <v>334</v>
      </c>
      <c r="D89" s="36">
        <v>43838</v>
      </c>
      <c r="E89" s="7">
        <v>43891</v>
      </c>
      <c r="F89" s="35">
        <v>88</v>
      </c>
    </row>
    <row r="90" spans="1:6">
      <c r="A90" s="35" t="s">
        <v>12</v>
      </c>
      <c r="B90" s="50">
        <v>5906.25</v>
      </c>
      <c r="C90" s="35" t="s">
        <v>334</v>
      </c>
      <c r="D90" s="36">
        <v>43836</v>
      </c>
      <c r="E90" s="7">
        <v>43891</v>
      </c>
      <c r="F90" s="35">
        <v>89</v>
      </c>
    </row>
    <row r="91" spans="1:6">
      <c r="A91" s="35" t="s">
        <v>31</v>
      </c>
      <c r="B91" s="50">
        <v>83757.718120805366</v>
      </c>
      <c r="C91" s="35" t="s">
        <v>334</v>
      </c>
      <c r="D91" s="36">
        <v>43836</v>
      </c>
      <c r="E91" s="21">
        <v>43867</v>
      </c>
      <c r="F91" s="35">
        <v>90</v>
      </c>
    </row>
    <row r="92" spans="1:6">
      <c r="A92" s="35" t="s">
        <v>92</v>
      </c>
      <c r="B92" s="50">
        <v>647.5</v>
      </c>
      <c r="C92" s="35" t="s">
        <v>334</v>
      </c>
      <c r="D92" s="36">
        <v>43828</v>
      </c>
      <c r="E92" s="7">
        <v>43836</v>
      </c>
      <c r="F92" s="35">
        <v>91</v>
      </c>
    </row>
    <row r="93" spans="1:6">
      <c r="A93" s="35" t="s">
        <v>33</v>
      </c>
      <c r="B93" s="50">
        <v>790.49</v>
      </c>
      <c r="C93" s="35" t="s">
        <v>334</v>
      </c>
      <c r="D93" s="36">
        <v>43838</v>
      </c>
      <c r="E93" s="7">
        <v>43845</v>
      </c>
      <c r="F93" s="35">
        <v>92</v>
      </c>
    </row>
    <row r="94" spans="1:6">
      <c r="A94" s="35" t="s">
        <v>54</v>
      </c>
      <c r="B94" s="50">
        <v>7457.1215510812826</v>
      </c>
      <c r="C94" s="35" t="s">
        <v>334</v>
      </c>
      <c r="D94" s="36">
        <v>43838</v>
      </c>
      <c r="E94" s="7">
        <v>43869</v>
      </c>
      <c r="F94" s="35">
        <v>93</v>
      </c>
    </row>
    <row r="95" spans="1:6">
      <c r="A95" s="35" t="s">
        <v>38</v>
      </c>
      <c r="B95" s="50">
        <v>848.29</v>
      </c>
      <c r="C95" s="35" t="s">
        <v>334</v>
      </c>
      <c r="D95" s="36">
        <v>43822</v>
      </c>
      <c r="E95" s="7">
        <v>43836</v>
      </c>
      <c r="F95" s="35">
        <v>94</v>
      </c>
    </row>
    <row r="96" spans="1:6">
      <c r="A96" s="35" t="s">
        <v>94</v>
      </c>
      <c r="B96" s="50">
        <v>127378.07606263984</v>
      </c>
      <c r="C96" s="35" t="s">
        <v>334</v>
      </c>
      <c r="D96" s="36">
        <v>43815</v>
      </c>
      <c r="E96" s="7">
        <v>43850</v>
      </c>
      <c r="F96" s="35">
        <v>95</v>
      </c>
    </row>
    <row r="97" spans="1:6">
      <c r="A97" s="35" t="s">
        <v>49</v>
      </c>
      <c r="B97" s="50">
        <v>1575.05</v>
      </c>
      <c r="C97" s="35" t="s">
        <v>334</v>
      </c>
      <c r="D97" s="36">
        <v>43839</v>
      </c>
      <c r="E97" s="7">
        <v>43844</v>
      </c>
      <c r="F97" s="35">
        <v>96</v>
      </c>
    </row>
    <row r="98" spans="1:6">
      <c r="A98" s="35" t="s">
        <v>94</v>
      </c>
      <c r="B98" s="50">
        <v>238532.43847874721</v>
      </c>
      <c r="C98" s="35" t="s">
        <v>334</v>
      </c>
      <c r="D98" s="36">
        <v>43818</v>
      </c>
      <c r="E98" s="7">
        <v>43850</v>
      </c>
      <c r="F98" s="35">
        <v>97</v>
      </c>
    </row>
    <row r="99" spans="1:6">
      <c r="A99" s="35" t="s">
        <v>33</v>
      </c>
      <c r="B99" s="50">
        <v>155.35</v>
      </c>
      <c r="C99" s="35" t="s">
        <v>334</v>
      </c>
      <c r="D99" s="36">
        <v>43839</v>
      </c>
      <c r="E99" s="7">
        <v>43846</v>
      </c>
      <c r="F99" s="35">
        <v>98</v>
      </c>
    </row>
    <row r="100" spans="1:6">
      <c r="A100" s="35" t="s">
        <v>40</v>
      </c>
      <c r="B100" s="50">
        <v>2410.8000000000002</v>
      </c>
      <c r="C100" s="35" t="s">
        <v>334</v>
      </c>
      <c r="D100" s="36">
        <v>43839</v>
      </c>
      <c r="E100" s="7">
        <v>43847</v>
      </c>
      <c r="F100" s="35">
        <v>99</v>
      </c>
    </row>
    <row r="101" spans="1:6">
      <c r="A101" s="35" t="s">
        <v>40</v>
      </c>
      <c r="B101" s="50">
        <v>2425.5</v>
      </c>
      <c r="C101" s="35" t="s">
        <v>334</v>
      </c>
      <c r="D101" s="36">
        <v>43839</v>
      </c>
      <c r="E101" s="7">
        <v>43847</v>
      </c>
      <c r="F101" s="35">
        <v>100</v>
      </c>
    </row>
    <row r="102" spans="1:6">
      <c r="A102" s="35" t="s">
        <v>12</v>
      </c>
      <c r="B102" s="50">
        <v>24058.6</v>
      </c>
      <c r="C102" s="35" t="s">
        <v>334</v>
      </c>
      <c r="D102" s="36">
        <v>43839</v>
      </c>
      <c r="E102" s="7">
        <v>43891</v>
      </c>
      <c r="F102" s="35">
        <v>101</v>
      </c>
    </row>
    <row r="103" spans="1:6">
      <c r="A103" s="35" t="s">
        <v>98</v>
      </c>
      <c r="B103" s="50">
        <v>2192.75</v>
      </c>
      <c r="C103" s="35" t="s">
        <v>334</v>
      </c>
      <c r="D103" s="36">
        <v>43839</v>
      </c>
      <c r="E103" s="7">
        <v>43853</v>
      </c>
      <c r="F103" s="35">
        <v>102</v>
      </c>
    </row>
    <row r="104" spans="1:6">
      <c r="A104" s="35" t="s">
        <v>98</v>
      </c>
      <c r="B104" s="50">
        <v>40235</v>
      </c>
      <c r="C104" s="35" t="s">
        <v>334</v>
      </c>
      <c r="D104" s="36">
        <v>43839</v>
      </c>
      <c r="E104" s="7">
        <v>43853</v>
      </c>
      <c r="F104" s="35">
        <v>103</v>
      </c>
    </row>
    <row r="105" spans="1:6">
      <c r="A105" s="35" t="s">
        <v>59</v>
      </c>
      <c r="B105" s="50">
        <v>1901.25</v>
      </c>
      <c r="C105" s="35" t="s">
        <v>334</v>
      </c>
      <c r="D105" s="36">
        <v>43839</v>
      </c>
      <c r="E105" s="7">
        <v>43846</v>
      </c>
      <c r="F105" s="35">
        <v>104</v>
      </c>
    </row>
    <row r="106" spans="1:6">
      <c r="A106" s="35" t="s">
        <v>12</v>
      </c>
      <c r="B106" s="50">
        <v>7500</v>
      </c>
      <c r="C106" s="35" t="s">
        <v>334</v>
      </c>
      <c r="D106" s="36">
        <v>43830</v>
      </c>
      <c r="E106" s="7">
        <v>43860</v>
      </c>
      <c r="F106" s="35">
        <v>105</v>
      </c>
    </row>
    <row r="107" spans="1:6">
      <c r="A107" s="35" t="s">
        <v>70</v>
      </c>
      <c r="B107" s="50">
        <v>3780</v>
      </c>
      <c r="C107" s="35" t="s">
        <v>334</v>
      </c>
      <c r="D107" s="36">
        <v>43839</v>
      </c>
      <c r="E107" s="7">
        <v>43859</v>
      </c>
      <c r="F107" s="35">
        <v>106</v>
      </c>
    </row>
    <row r="108" spans="1:6">
      <c r="A108" s="35" t="s">
        <v>36</v>
      </c>
      <c r="B108" s="50">
        <v>78726.429999999993</v>
      </c>
      <c r="C108" s="35" t="s">
        <v>334</v>
      </c>
      <c r="D108" s="36">
        <v>43830</v>
      </c>
      <c r="E108" s="8" t="s">
        <v>35</v>
      </c>
      <c r="F108" s="35">
        <v>107</v>
      </c>
    </row>
    <row r="109" spans="1:6">
      <c r="A109" s="35" t="s">
        <v>59</v>
      </c>
      <c r="B109" s="50">
        <v>483146.90529455629</v>
      </c>
      <c r="C109" s="35" t="s">
        <v>334</v>
      </c>
      <c r="D109" s="36">
        <v>43819</v>
      </c>
      <c r="E109" s="7">
        <v>43849</v>
      </c>
      <c r="F109" s="35">
        <v>108</v>
      </c>
    </row>
    <row r="110" spans="1:6">
      <c r="A110" s="35" t="s">
        <v>36</v>
      </c>
      <c r="B110" s="50">
        <v>139.41</v>
      </c>
      <c r="C110" s="35" t="s">
        <v>334</v>
      </c>
      <c r="D110" s="36">
        <v>43839</v>
      </c>
      <c r="E110" s="7">
        <v>43905</v>
      </c>
      <c r="F110" s="35">
        <v>109</v>
      </c>
    </row>
    <row r="111" spans="1:6">
      <c r="A111" s="35" t="s">
        <v>28</v>
      </c>
      <c r="B111" s="50">
        <v>2412.5</v>
      </c>
      <c r="C111" s="35" t="s">
        <v>334</v>
      </c>
      <c r="D111" s="36">
        <v>43836</v>
      </c>
      <c r="E111" s="7">
        <v>43850</v>
      </c>
      <c r="F111" s="35">
        <v>110</v>
      </c>
    </row>
    <row r="112" spans="1:6">
      <c r="A112" s="35" t="s">
        <v>25</v>
      </c>
      <c r="B112" s="50">
        <v>10026.845637583892</v>
      </c>
      <c r="C112" s="35" t="s">
        <v>334</v>
      </c>
      <c r="D112" s="36">
        <v>43839</v>
      </c>
      <c r="E112" s="7">
        <v>43879</v>
      </c>
      <c r="F112" s="35">
        <v>111</v>
      </c>
    </row>
    <row r="113" spans="1:6">
      <c r="A113" s="35" t="s">
        <v>25</v>
      </c>
      <c r="B113" s="50">
        <v>14037.583892617451</v>
      </c>
      <c r="C113" s="35" t="s">
        <v>334</v>
      </c>
      <c r="D113" s="36">
        <v>43839</v>
      </c>
      <c r="E113" s="7">
        <v>43879</v>
      </c>
      <c r="F113" s="35">
        <v>112</v>
      </c>
    </row>
    <row r="114" spans="1:6">
      <c r="A114" s="35" t="s">
        <v>59</v>
      </c>
      <c r="B114" s="50">
        <v>38102.013422818789</v>
      </c>
      <c r="C114" s="35" t="s">
        <v>334</v>
      </c>
      <c r="D114" s="36">
        <v>43839</v>
      </c>
      <c r="E114" s="7">
        <v>43879</v>
      </c>
      <c r="F114" s="35">
        <v>113</v>
      </c>
    </row>
    <row r="115" spans="1:6">
      <c r="A115" s="35" t="s">
        <v>59</v>
      </c>
      <c r="B115" s="50">
        <v>3205.5182699478005</v>
      </c>
      <c r="C115" s="35" t="s">
        <v>334</v>
      </c>
      <c r="D115" s="36">
        <v>43839</v>
      </c>
      <c r="E115" s="7">
        <v>43879</v>
      </c>
      <c r="F115" s="35">
        <v>114</v>
      </c>
    </row>
    <row r="116" spans="1:6">
      <c r="A116" s="35" t="s">
        <v>59</v>
      </c>
      <c r="B116" s="50">
        <v>46123.489932885903</v>
      </c>
      <c r="C116" s="35" t="s">
        <v>334</v>
      </c>
      <c r="D116" s="36">
        <v>43839</v>
      </c>
      <c r="E116" s="7">
        <v>43879</v>
      </c>
      <c r="F116" s="35">
        <v>115</v>
      </c>
    </row>
    <row r="117" spans="1:6">
      <c r="A117" s="35" t="s">
        <v>25</v>
      </c>
      <c r="B117" s="50">
        <v>2804.847129008203</v>
      </c>
      <c r="C117" s="35" t="s">
        <v>334</v>
      </c>
      <c r="D117" s="36">
        <v>43839</v>
      </c>
      <c r="E117" s="7">
        <v>43879</v>
      </c>
      <c r="F117" s="35">
        <v>116</v>
      </c>
    </row>
    <row r="118" spans="1:6">
      <c r="A118" s="35" t="s">
        <v>59</v>
      </c>
      <c r="B118" s="50">
        <v>32031.25</v>
      </c>
      <c r="C118" s="35" t="s">
        <v>334</v>
      </c>
      <c r="D118" s="36">
        <v>43840</v>
      </c>
      <c r="E118" s="21">
        <v>43870</v>
      </c>
      <c r="F118" s="35">
        <v>117</v>
      </c>
    </row>
    <row r="119" spans="1:6">
      <c r="A119" s="35" t="s">
        <v>70</v>
      </c>
      <c r="B119" s="50">
        <v>3021</v>
      </c>
      <c r="C119" s="35" t="s">
        <v>334</v>
      </c>
      <c r="D119" s="36">
        <v>43840</v>
      </c>
      <c r="E119" s="7">
        <v>43860</v>
      </c>
      <c r="F119" s="35">
        <v>118</v>
      </c>
    </row>
    <row r="120" spans="1:6">
      <c r="A120" s="35" t="s">
        <v>59</v>
      </c>
      <c r="B120" s="50">
        <v>856.76</v>
      </c>
      <c r="C120" s="35" t="s">
        <v>334</v>
      </c>
      <c r="D120" s="36">
        <v>43843</v>
      </c>
      <c r="E120" s="7">
        <v>43857</v>
      </c>
      <c r="F120" s="35">
        <v>119</v>
      </c>
    </row>
    <row r="121" spans="1:6">
      <c r="A121" s="35" t="s">
        <v>59</v>
      </c>
      <c r="B121" s="50">
        <v>9321.4019388516026</v>
      </c>
      <c r="C121" s="35" t="s">
        <v>334</v>
      </c>
      <c r="D121" s="36">
        <v>43843</v>
      </c>
      <c r="E121" s="7">
        <v>43873</v>
      </c>
      <c r="F121" s="35">
        <v>120</v>
      </c>
    </row>
    <row r="122" spans="1:6">
      <c r="A122" s="35" t="s">
        <v>70</v>
      </c>
      <c r="B122" s="50">
        <v>570</v>
      </c>
      <c r="C122" s="35" t="s">
        <v>334</v>
      </c>
      <c r="D122" s="36">
        <v>43843</v>
      </c>
      <c r="E122" s="7">
        <v>43863</v>
      </c>
      <c r="F122" s="35">
        <v>121</v>
      </c>
    </row>
    <row r="123" spans="1:6">
      <c r="A123" s="35" t="s">
        <v>70</v>
      </c>
      <c r="B123" s="50">
        <v>570</v>
      </c>
      <c r="C123" s="35" t="s">
        <v>334</v>
      </c>
      <c r="D123" s="36">
        <v>43843</v>
      </c>
      <c r="E123" s="7">
        <v>43863</v>
      </c>
      <c r="F123" s="35">
        <v>122</v>
      </c>
    </row>
    <row r="124" spans="1:6">
      <c r="A124" s="35" t="s">
        <v>59</v>
      </c>
      <c r="B124" s="50">
        <v>1710</v>
      </c>
      <c r="C124" s="35" t="s">
        <v>334</v>
      </c>
      <c r="D124" s="36">
        <v>43843</v>
      </c>
      <c r="E124" s="7">
        <v>43863</v>
      </c>
      <c r="F124" s="35">
        <v>123</v>
      </c>
    </row>
    <row r="125" spans="1:6">
      <c r="A125" s="35" t="s">
        <v>59</v>
      </c>
      <c r="B125" s="50">
        <v>1923.75</v>
      </c>
      <c r="C125" s="35" t="s">
        <v>334</v>
      </c>
      <c r="D125" s="36">
        <v>43843</v>
      </c>
      <c r="E125" s="7">
        <v>43863</v>
      </c>
      <c r="F125" s="35">
        <v>124</v>
      </c>
    </row>
    <row r="126" spans="1:6">
      <c r="A126" s="35" t="s">
        <v>59</v>
      </c>
      <c r="B126" s="50">
        <v>641.25</v>
      </c>
      <c r="C126" s="35" t="s">
        <v>334</v>
      </c>
      <c r="D126" s="36">
        <v>43843</v>
      </c>
      <c r="E126" s="7">
        <v>43863</v>
      </c>
      <c r="F126" s="35">
        <v>125</v>
      </c>
    </row>
    <row r="127" spans="1:6">
      <c r="A127" s="35" t="s">
        <v>59</v>
      </c>
      <c r="B127" s="50">
        <v>1033.1300000000001</v>
      </c>
      <c r="C127" s="35" t="s">
        <v>334</v>
      </c>
      <c r="D127" s="36">
        <v>43843</v>
      </c>
      <c r="E127" s="7">
        <v>43863</v>
      </c>
      <c r="F127" s="35">
        <v>126</v>
      </c>
    </row>
    <row r="128" spans="1:6">
      <c r="A128" s="35" t="s">
        <v>33</v>
      </c>
      <c r="B128" s="50">
        <v>841.2</v>
      </c>
      <c r="C128" s="35" t="s">
        <v>334</v>
      </c>
      <c r="D128" s="36">
        <v>43843</v>
      </c>
      <c r="E128" s="7">
        <v>43850</v>
      </c>
      <c r="F128" s="35">
        <v>127</v>
      </c>
    </row>
    <row r="129" spans="1:6">
      <c r="A129" s="35" t="s">
        <v>59</v>
      </c>
      <c r="B129" s="50">
        <v>1737.061894108874</v>
      </c>
      <c r="C129" s="35" t="s">
        <v>334</v>
      </c>
      <c r="D129" s="36">
        <v>43844</v>
      </c>
      <c r="E129" s="7">
        <v>43890</v>
      </c>
      <c r="F129" s="35">
        <v>128</v>
      </c>
    </row>
    <row r="130" spans="1:6">
      <c r="A130" s="35" t="s">
        <v>70</v>
      </c>
      <c r="B130" s="50">
        <v>3021</v>
      </c>
      <c r="C130" s="35" t="s">
        <v>334</v>
      </c>
      <c r="D130" s="36">
        <v>43844</v>
      </c>
      <c r="E130" s="7">
        <v>43864</v>
      </c>
      <c r="F130" s="35">
        <v>129</v>
      </c>
    </row>
    <row r="131" spans="1:6">
      <c r="A131" s="35" t="s">
        <v>59</v>
      </c>
      <c r="B131" s="50">
        <v>4488.75</v>
      </c>
      <c r="C131" s="35" t="s">
        <v>334</v>
      </c>
      <c r="D131" s="36">
        <v>43844</v>
      </c>
      <c r="E131" s="7">
        <v>43864</v>
      </c>
      <c r="F131" s="35">
        <v>130</v>
      </c>
    </row>
    <row r="132" spans="1:6">
      <c r="A132" s="35" t="s">
        <v>59</v>
      </c>
      <c r="B132" s="50">
        <v>1282.5</v>
      </c>
      <c r="C132" s="35" t="s">
        <v>334</v>
      </c>
      <c r="D132" s="36">
        <v>43845</v>
      </c>
      <c r="E132" s="7">
        <v>43865</v>
      </c>
      <c r="F132" s="35">
        <v>131</v>
      </c>
    </row>
    <row r="133" spans="1:6">
      <c r="A133" s="35" t="s">
        <v>70</v>
      </c>
      <c r="B133" s="50">
        <v>1923.75</v>
      </c>
      <c r="C133" s="35" t="s">
        <v>334</v>
      </c>
      <c r="D133" s="36">
        <v>43845</v>
      </c>
      <c r="E133" s="7">
        <v>43865</v>
      </c>
      <c r="F133" s="35">
        <v>132</v>
      </c>
    </row>
    <row r="134" spans="1:6">
      <c r="A134" s="35" t="s">
        <v>59</v>
      </c>
      <c r="B134" s="50" t="s">
        <v>109</v>
      </c>
      <c r="C134" s="35" t="s">
        <v>334</v>
      </c>
      <c r="D134" s="36">
        <v>43845</v>
      </c>
      <c r="E134" s="7">
        <v>43875</v>
      </c>
      <c r="F134" s="35">
        <v>133</v>
      </c>
    </row>
    <row r="135" spans="1:6">
      <c r="A135" s="35" t="s">
        <v>59</v>
      </c>
      <c r="B135" s="50">
        <v>1033.1300000000001</v>
      </c>
      <c r="C135" s="35" t="s">
        <v>334</v>
      </c>
      <c r="D135" s="36">
        <v>43845</v>
      </c>
      <c r="E135" s="7">
        <v>43865</v>
      </c>
      <c r="F135" s="35">
        <v>134</v>
      </c>
    </row>
    <row r="136" spans="1:6">
      <c r="A136" s="35" t="s">
        <v>33</v>
      </c>
      <c r="B136" s="50">
        <v>156</v>
      </c>
      <c r="C136" s="35" t="s">
        <v>334</v>
      </c>
      <c r="D136" s="36">
        <v>43845</v>
      </c>
      <c r="E136" s="7">
        <v>43852</v>
      </c>
      <c r="F136" s="35">
        <v>135</v>
      </c>
    </row>
    <row r="137" spans="1:6">
      <c r="A137" s="35" t="s">
        <v>110</v>
      </c>
      <c r="B137" s="50">
        <v>34659.806114839674</v>
      </c>
      <c r="C137" s="35" t="s">
        <v>334</v>
      </c>
      <c r="D137" s="36">
        <v>43845</v>
      </c>
      <c r="E137" s="7">
        <v>43905</v>
      </c>
      <c r="F137" s="35">
        <v>136</v>
      </c>
    </row>
    <row r="138" spans="1:6">
      <c r="A138" s="35" t="s">
        <v>92</v>
      </c>
      <c r="B138" s="50">
        <v>32530</v>
      </c>
      <c r="C138" s="35" t="s">
        <v>334</v>
      </c>
      <c r="D138" s="36">
        <v>43841</v>
      </c>
      <c r="E138" s="7">
        <v>43849</v>
      </c>
      <c r="F138" s="35">
        <v>137</v>
      </c>
    </row>
    <row r="139" spans="1:6">
      <c r="A139" s="35" t="s">
        <v>92</v>
      </c>
      <c r="B139" s="50">
        <v>8831.25</v>
      </c>
      <c r="C139" s="35" t="s">
        <v>334</v>
      </c>
      <c r="D139" s="36">
        <v>37496</v>
      </c>
      <c r="E139" s="7">
        <v>43713</v>
      </c>
      <c r="F139" s="35">
        <v>138</v>
      </c>
    </row>
    <row r="140" spans="1:6">
      <c r="A140" s="35" t="s">
        <v>59</v>
      </c>
      <c r="B140" s="50">
        <v>20507.084265473528</v>
      </c>
      <c r="C140" s="35" t="s">
        <v>334</v>
      </c>
      <c r="D140" s="36">
        <v>43845</v>
      </c>
      <c r="E140" s="7">
        <v>43875</v>
      </c>
      <c r="F140" s="35">
        <v>139</v>
      </c>
    </row>
    <row r="141" spans="1:6">
      <c r="A141" s="35" t="s">
        <v>59</v>
      </c>
      <c r="B141" s="50">
        <v>483221.47651006712</v>
      </c>
      <c r="C141" s="35" t="s">
        <v>334</v>
      </c>
      <c r="D141" s="36">
        <v>43843</v>
      </c>
      <c r="E141" s="7">
        <v>43873</v>
      </c>
      <c r="F141" s="35">
        <v>140</v>
      </c>
    </row>
    <row r="142" spans="1:6">
      <c r="A142" s="35" t="s">
        <v>113</v>
      </c>
      <c r="B142" s="50">
        <v>119700.11</v>
      </c>
      <c r="C142" s="35" t="s">
        <v>334</v>
      </c>
      <c r="D142" s="36">
        <v>43822</v>
      </c>
      <c r="E142" s="7">
        <v>43852</v>
      </c>
      <c r="F142" s="35">
        <v>141</v>
      </c>
    </row>
    <row r="143" spans="1:6">
      <c r="A143" s="35" t="s">
        <v>70</v>
      </c>
      <c r="B143" s="50">
        <v>1187.5</v>
      </c>
      <c r="C143" s="35" t="s">
        <v>334</v>
      </c>
      <c r="D143" s="36">
        <v>43846</v>
      </c>
      <c r="E143" s="7">
        <v>43866</v>
      </c>
      <c r="F143" s="35">
        <v>142</v>
      </c>
    </row>
    <row r="144" spans="1:6">
      <c r="A144" s="35" t="s">
        <v>59</v>
      </c>
      <c r="B144" s="50">
        <v>790</v>
      </c>
      <c r="C144" s="35" t="s">
        <v>334</v>
      </c>
      <c r="D144" s="36">
        <v>43850</v>
      </c>
      <c r="E144" s="20">
        <v>43858</v>
      </c>
      <c r="F144" s="35">
        <v>143</v>
      </c>
    </row>
    <row r="145" spans="1:6">
      <c r="A145" s="35" t="s">
        <v>114</v>
      </c>
      <c r="B145" s="50">
        <v>177.78</v>
      </c>
      <c r="C145" s="35" t="s">
        <v>334</v>
      </c>
      <c r="D145" s="36">
        <v>43846</v>
      </c>
      <c r="E145" s="7">
        <v>43905</v>
      </c>
      <c r="F145" s="35">
        <v>144</v>
      </c>
    </row>
    <row r="146" spans="1:6">
      <c r="A146" s="35" t="s">
        <v>59</v>
      </c>
      <c r="B146" s="50">
        <v>1813.74</v>
      </c>
      <c r="C146" s="35" t="s">
        <v>334</v>
      </c>
      <c r="D146" s="36">
        <v>43850</v>
      </c>
      <c r="E146" s="7">
        <v>43832</v>
      </c>
      <c r="F146" s="35">
        <v>145</v>
      </c>
    </row>
    <row r="147" spans="1:6">
      <c r="A147" s="35" t="s">
        <v>94</v>
      </c>
      <c r="B147" s="50">
        <v>39755.406413124532</v>
      </c>
      <c r="C147" s="35" t="s">
        <v>334</v>
      </c>
      <c r="D147" s="36">
        <v>43846</v>
      </c>
      <c r="E147" s="21">
        <v>43881</v>
      </c>
      <c r="F147" s="35">
        <v>146</v>
      </c>
    </row>
    <row r="148" spans="1:6">
      <c r="A148" s="35" t="s">
        <v>59</v>
      </c>
      <c r="B148" s="50">
        <v>1780</v>
      </c>
      <c r="C148" s="35" t="s">
        <v>334</v>
      </c>
      <c r="D148" s="36">
        <v>43850</v>
      </c>
      <c r="E148" s="7">
        <v>43880</v>
      </c>
      <c r="F148" s="35">
        <v>147</v>
      </c>
    </row>
    <row r="149" spans="1:6">
      <c r="A149" s="35" t="s">
        <v>38</v>
      </c>
      <c r="B149" s="50">
        <v>856.76</v>
      </c>
      <c r="C149" s="35" t="s">
        <v>334</v>
      </c>
      <c r="D149" s="36">
        <v>43850</v>
      </c>
      <c r="E149" s="7">
        <v>43864</v>
      </c>
      <c r="F149" s="35">
        <v>148</v>
      </c>
    </row>
    <row r="150" spans="1:6">
      <c r="A150" s="35" t="s">
        <v>22</v>
      </c>
      <c r="B150" s="50">
        <v>14775.838926174498</v>
      </c>
      <c r="C150" s="35" t="s">
        <v>334</v>
      </c>
      <c r="D150" s="36">
        <v>43847</v>
      </c>
      <c r="E150" s="7">
        <v>43877</v>
      </c>
      <c r="F150" s="35">
        <v>149</v>
      </c>
    </row>
    <row r="151" spans="1:6">
      <c r="A151" s="35" t="s">
        <v>22</v>
      </c>
      <c r="B151" s="50">
        <v>22163.758389261744</v>
      </c>
      <c r="C151" s="35" t="s">
        <v>334</v>
      </c>
      <c r="D151" s="36">
        <v>43847</v>
      </c>
      <c r="E151" s="7">
        <v>43877</v>
      </c>
      <c r="F151" s="35">
        <v>150</v>
      </c>
    </row>
    <row r="152" spans="1:6">
      <c r="A152" s="35" t="s">
        <v>22</v>
      </c>
      <c r="B152" s="50">
        <v>149004.02684563756</v>
      </c>
      <c r="C152" s="35" t="s">
        <v>334</v>
      </c>
      <c r="D152" s="36">
        <v>43850</v>
      </c>
      <c r="E152" s="7">
        <v>43880</v>
      </c>
      <c r="F152" s="35">
        <v>151</v>
      </c>
    </row>
    <row r="153" spans="1:6">
      <c r="A153" s="35" t="s">
        <v>22</v>
      </c>
      <c r="B153" s="50">
        <v>22163.758389261744</v>
      </c>
      <c r="C153" s="35" t="s">
        <v>334</v>
      </c>
      <c r="D153" s="36">
        <v>43850</v>
      </c>
      <c r="E153" s="7">
        <v>43880</v>
      </c>
      <c r="F153" s="35">
        <v>152</v>
      </c>
    </row>
    <row r="154" spans="1:6">
      <c r="A154" s="35" t="s">
        <v>18</v>
      </c>
      <c r="B154" s="50">
        <v>35436.241610738252</v>
      </c>
      <c r="C154" s="35" t="s">
        <v>334</v>
      </c>
      <c r="D154" s="36">
        <v>43847</v>
      </c>
      <c r="E154" s="21">
        <v>43847</v>
      </c>
      <c r="F154" s="35">
        <v>153</v>
      </c>
    </row>
    <row r="155" spans="1:6">
      <c r="A155" s="35" t="s">
        <v>18</v>
      </c>
      <c r="B155" s="50">
        <v>28348.993288590606</v>
      </c>
      <c r="C155" s="35" t="s">
        <v>334</v>
      </c>
      <c r="D155" s="36">
        <v>43850</v>
      </c>
      <c r="E155" s="21">
        <v>43850</v>
      </c>
      <c r="F155" s="35">
        <v>154</v>
      </c>
    </row>
    <row r="156" spans="1:6">
      <c r="A156" s="35" t="s">
        <v>18</v>
      </c>
      <c r="B156" s="50">
        <v>28348.993288590606</v>
      </c>
      <c r="C156" s="35" t="s">
        <v>334</v>
      </c>
      <c r="D156" s="36">
        <v>43850</v>
      </c>
      <c r="E156" s="21">
        <v>43850</v>
      </c>
      <c r="F156" s="35">
        <v>155</v>
      </c>
    </row>
    <row r="157" spans="1:6">
      <c r="A157" s="35" t="s">
        <v>18</v>
      </c>
      <c r="B157" s="50">
        <v>141904.54884414616</v>
      </c>
      <c r="C157" s="35" t="s">
        <v>334</v>
      </c>
      <c r="D157" s="36">
        <v>43850</v>
      </c>
      <c r="E157" s="21">
        <v>43850</v>
      </c>
      <c r="F157" s="35">
        <v>156</v>
      </c>
    </row>
    <row r="158" spans="1:6">
      <c r="A158" s="35" t="s">
        <v>124</v>
      </c>
      <c r="B158" s="50">
        <v>2484.38</v>
      </c>
      <c r="C158" s="35" t="s">
        <v>334</v>
      </c>
      <c r="D158" s="36">
        <v>43830</v>
      </c>
      <c r="E158" s="7">
        <v>43845</v>
      </c>
      <c r="F158" s="35">
        <v>157</v>
      </c>
    </row>
    <row r="159" spans="1:6">
      <c r="A159" s="35" t="s">
        <v>54</v>
      </c>
      <c r="B159" s="50">
        <v>20507.084265473528</v>
      </c>
      <c r="C159" s="35" t="s">
        <v>334</v>
      </c>
      <c r="D159" s="36">
        <v>43850</v>
      </c>
      <c r="E159" s="7">
        <v>43880</v>
      </c>
      <c r="F159" s="35">
        <v>158</v>
      </c>
    </row>
    <row r="160" spans="1:6">
      <c r="A160" s="35" t="s">
        <v>70</v>
      </c>
      <c r="B160" s="50">
        <v>2992.5</v>
      </c>
      <c r="C160" s="35" t="s">
        <v>334</v>
      </c>
      <c r="D160" s="36">
        <v>43850</v>
      </c>
      <c r="E160" s="7">
        <v>43870</v>
      </c>
      <c r="F160" s="35">
        <v>159</v>
      </c>
    </row>
    <row r="161" spans="1:6">
      <c r="A161" s="35" t="s">
        <v>12</v>
      </c>
      <c r="B161" s="50">
        <v>1312.5</v>
      </c>
      <c r="C161" s="35" t="s">
        <v>334</v>
      </c>
      <c r="D161" s="36">
        <v>43847</v>
      </c>
      <c r="E161" s="7">
        <v>43891</v>
      </c>
      <c r="F161" s="35">
        <v>160</v>
      </c>
    </row>
    <row r="162" spans="1:6">
      <c r="A162" s="35" t="s">
        <v>70</v>
      </c>
      <c r="B162" s="50">
        <v>1923.75</v>
      </c>
      <c r="C162" s="35" t="s">
        <v>334</v>
      </c>
      <c r="D162" s="36">
        <v>43847</v>
      </c>
      <c r="E162" s="7">
        <v>43867</v>
      </c>
      <c r="F162" s="35">
        <v>161</v>
      </c>
    </row>
    <row r="163" spans="1:6">
      <c r="A163" s="35" t="s">
        <v>70</v>
      </c>
      <c r="B163" s="50">
        <v>1923.75</v>
      </c>
      <c r="C163" s="35" t="s">
        <v>334</v>
      </c>
      <c r="D163" s="36">
        <v>43847</v>
      </c>
      <c r="E163" s="7">
        <v>43867</v>
      </c>
      <c r="F163" s="35">
        <v>162</v>
      </c>
    </row>
    <row r="164" spans="1:6">
      <c r="A164" s="35" t="s">
        <v>70</v>
      </c>
      <c r="B164" s="50">
        <v>1995</v>
      </c>
      <c r="C164" s="35" t="s">
        <v>334</v>
      </c>
      <c r="D164" s="36">
        <v>43847</v>
      </c>
      <c r="E164" s="7">
        <v>43867</v>
      </c>
      <c r="F164" s="35">
        <v>163</v>
      </c>
    </row>
    <row r="165" spans="1:6">
      <c r="A165" s="35" t="s">
        <v>70</v>
      </c>
      <c r="B165" s="50">
        <v>1033.1300000000001</v>
      </c>
      <c r="C165" s="35" t="s">
        <v>334</v>
      </c>
      <c r="D165" s="36">
        <v>43847</v>
      </c>
      <c r="E165" s="7">
        <v>43867</v>
      </c>
      <c r="F165" s="35">
        <v>164</v>
      </c>
    </row>
    <row r="166" spans="1:6">
      <c r="A166" s="35" t="s">
        <v>70</v>
      </c>
      <c r="B166" s="50">
        <v>2940</v>
      </c>
      <c r="C166" s="35" t="s">
        <v>334</v>
      </c>
      <c r="D166" s="36">
        <v>43847</v>
      </c>
      <c r="E166" s="7">
        <v>43867</v>
      </c>
      <c r="F166" s="35">
        <v>165</v>
      </c>
    </row>
    <row r="167" spans="1:6">
      <c r="A167" s="35" t="s">
        <v>25</v>
      </c>
      <c r="B167" s="50">
        <v>15638.404175988069</v>
      </c>
      <c r="C167" s="35" t="s">
        <v>334</v>
      </c>
      <c r="D167" s="36">
        <v>43844</v>
      </c>
      <c r="E167" s="7">
        <v>43884</v>
      </c>
      <c r="F167" s="35">
        <v>166</v>
      </c>
    </row>
    <row r="168" spans="1:6">
      <c r="A168" s="35" t="s">
        <v>25</v>
      </c>
      <c r="B168" s="50">
        <v>24852.274422073082</v>
      </c>
      <c r="C168" s="35" t="s">
        <v>334</v>
      </c>
      <c r="D168" s="36">
        <v>43844</v>
      </c>
      <c r="E168" s="7">
        <v>43884</v>
      </c>
      <c r="F168" s="35">
        <v>167</v>
      </c>
    </row>
    <row r="169" spans="1:6">
      <c r="A169" s="35" t="s">
        <v>25</v>
      </c>
      <c r="B169" s="50">
        <v>19645.264727815062</v>
      </c>
      <c r="C169" s="35" t="s">
        <v>334</v>
      </c>
      <c r="D169" s="36">
        <v>43846</v>
      </c>
      <c r="E169" s="7">
        <v>43886</v>
      </c>
      <c r="F169" s="35">
        <v>168</v>
      </c>
    </row>
    <row r="170" spans="1:6">
      <c r="A170" s="35" t="s">
        <v>25</v>
      </c>
      <c r="B170" s="50">
        <v>26062.043251304996</v>
      </c>
      <c r="C170" s="35" t="s">
        <v>334</v>
      </c>
      <c r="D170" s="36">
        <v>43846</v>
      </c>
      <c r="E170" s="7">
        <v>43886</v>
      </c>
      <c r="F170" s="35">
        <v>169</v>
      </c>
    </row>
    <row r="171" spans="1:6">
      <c r="A171" s="35" t="s">
        <v>12</v>
      </c>
      <c r="B171" s="50">
        <v>17837.150000000001</v>
      </c>
      <c r="C171" s="35" t="s">
        <v>334</v>
      </c>
      <c r="D171" s="36">
        <v>43840</v>
      </c>
      <c r="E171" s="7">
        <v>43891</v>
      </c>
      <c r="F171" s="35">
        <v>170</v>
      </c>
    </row>
    <row r="172" spans="1:6">
      <c r="A172" s="35" t="s">
        <v>33</v>
      </c>
      <c r="B172" s="50">
        <v>155.35</v>
      </c>
      <c r="C172" s="35" t="s">
        <v>334</v>
      </c>
      <c r="D172" s="36">
        <v>43852</v>
      </c>
      <c r="E172" s="7">
        <v>43859</v>
      </c>
      <c r="F172" s="35">
        <v>171</v>
      </c>
    </row>
    <row r="173" spans="1:6">
      <c r="A173" s="35" t="s">
        <v>94</v>
      </c>
      <c r="B173" s="50">
        <v>41814.765100671138</v>
      </c>
      <c r="C173" s="35" t="s">
        <v>334</v>
      </c>
      <c r="D173" s="36">
        <v>43850</v>
      </c>
      <c r="E173" s="7">
        <v>43881</v>
      </c>
      <c r="F173" s="35">
        <v>172</v>
      </c>
    </row>
    <row r="174" spans="1:6">
      <c r="A174" s="35" t="s">
        <v>114</v>
      </c>
      <c r="B174" s="50">
        <v>92.94</v>
      </c>
      <c r="C174" s="35" t="s">
        <v>334</v>
      </c>
      <c r="D174" s="36">
        <v>43853</v>
      </c>
      <c r="E174" s="7">
        <v>43905</v>
      </c>
      <c r="F174" s="35">
        <v>173</v>
      </c>
    </row>
    <row r="175" spans="1:6">
      <c r="A175" s="35" t="s">
        <v>34</v>
      </c>
      <c r="B175" s="50">
        <v>112.5</v>
      </c>
      <c r="C175" s="35" t="s">
        <v>334</v>
      </c>
      <c r="D175" s="36">
        <v>43852</v>
      </c>
      <c r="E175" s="7">
        <v>43882</v>
      </c>
      <c r="F175" s="35">
        <v>174</v>
      </c>
    </row>
    <row r="176" spans="1:6">
      <c r="A176" s="35" t="s">
        <v>54</v>
      </c>
      <c r="B176" s="50">
        <v>9321.4019388516026</v>
      </c>
      <c r="C176" s="35" t="s">
        <v>334</v>
      </c>
      <c r="D176" s="36">
        <v>43852</v>
      </c>
      <c r="E176" s="7">
        <v>43882</v>
      </c>
      <c r="F176" s="35">
        <v>175</v>
      </c>
    </row>
    <row r="177" spans="1:6">
      <c r="A177" s="35" t="s">
        <v>70</v>
      </c>
      <c r="B177" s="50">
        <v>4275</v>
      </c>
      <c r="C177" s="35" t="s">
        <v>334</v>
      </c>
      <c r="D177" s="36">
        <v>43851</v>
      </c>
      <c r="E177" s="7">
        <v>43871</v>
      </c>
      <c r="F177" s="35">
        <v>176</v>
      </c>
    </row>
    <row r="178" spans="1:6">
      <c r="A178" s="35" t="s">
        <v>70</v>
      </c>
      <c r="B178" s="50">
        <v>3099.38</v>
      </c>
      <c r="C178" s="35" t="s">
        <v>334</v>
      </c>
      <c r="D178" s="36">
        <v>43851</v>
      </c>
      <c r="E178" s="7">
        <v>43871</v>
      </c>
      <c r="F178" s="35">
        <v>177</v>
      </c>
    </row>
    <row r="179" spans="1:6">
      <c r="A179" s="35" t="s">
        <v>70</v>
      </c>
      <c r="B179" s="50">
        <v>2066.25</v>
      </c>
      <c r="C179" s="35" t="s">
        <v>334</v>
      </c>
      <c r="D179" s="36">
        <v>43852</v>
      </c>
      <c r="E179" s="7">
        <v>43872</v>
      </c>
      <c r="F179" s="35">
        <v>178</v>
      </c>
    </row>
    <row r="180" spans="1:6">
      <c r="A180" s="35" t="s">
        <v>70</v>
      </c>
      <c r="B180" s="50">
        <v>10549.28</v>
      </c>
      <c r="C180" s="35" t="s">
        <v>334</v>
      </c>
      <c r="D180" s="36">
        <v>43852</v>
      </c>
      <c r="E180" s="7">
        <v>43872</v>
      </c>
      <c r="F180" s="35">
        <v>179</v>
      </c>
    </row>
    <row r="181" spans="1:6">
      <c r="A181" s="35" t="s">
        <v>70</v>
      </c>
      <c r="B181" s="50">
        <v>1033.1300000000001</v>
      </c>
      <c r="C181" s="35" t="s">
        <v>334</v>
      </c>
      <c r="D181" s="36">
        <v>43852</v>
      </c>
      <c r="E181" s="7">
        <v>43872</v>
      </c>
      <c r="F181" s="35">
        <v>180</v>
      </c>
    </row>
    <row r="182" spans="1:6">
      <c r="A182" s="35" t="s">
        <v>70</v>
      </c>
      <c r="B182" s="50">
        <v>1282.5</v>
      </c>
      <c r="C182" s="35" t="s">
        <v>334</v>
      </c>
      <c r="D182" s="36">
        <v>43852</v>
      </c>
      <c r="E182" s="7">
        <v>43872</v>
      </c>
      <c r="F182" s="35">
        <v>181</v>
      </c>
    </row>
    <row r="183" spans="1:6">
      <c r="A183" s="35" t="s">
        <v>70</v>
      </c>
      <c r="B183" s="50">
        <v>1923.75</v>
      </c>
      <c r="C183" s="35" t="s">
        <v>334</v>
      </c>
      <c r="D183" s="36">
        <v>43852</v>
      </c>
      <c r="E183" s="7">
        <v>43872</v>
      </c>
      <c r="F183" s="35">
        <v>182</v>
      </c>
    </row>
    <row r="184" spans="1:6">
      <c r="A184" s="35" t="s">
        <v>70</v>
      </c>
      <c r="B184" s="50">
        <v>3021</v>
      </c>
      <c r="C184" s="35" t="s">
        <v>334</v>
      </c>
      <c r="D184" s="36">
        <v>43852</v>
      </c>
      <c r="E184" s="7">
        <v>43872</v>
      </c>
      <c r="F184" s="35">
        <v>183</v>
      </c>
    </row>
    <row r="185" spans="1:6">
      <c r="A185" s="35" t="s">
        <v>70</v>
      </c>
      <c r="B185" s="50">
        <v>3099.38</v>
      </c>
      <c r="C185" s="35" t="s">
        <v>334</v>
      </c>
      <c r="D185" s="36">
        <v>43852</v>
      </c>
      <c r="E185" s="7">
        <v>43872</v>
      </c>
      <c r="F185" s="35">
        <v>184</v>
      </c>
    </row>
    <row r="186" spans="1:6">
      <c r="A186" s="35" t="s">
        <v>70</v>
      </c>
      <c r="B186" s="50">
        <v>3420</v>
      </c>
      <c r="C186" s="35" t="s">
        <v>334</v>
      </c>
      <c r="D186" s="36">
        <v>43852</v>
      </c>
      <c r="E186" s="7">
        <v>43872</v>
      </c>
      <c r="F186" s="35">
        <v>185</v>
      </c>
    </row>
    <row r="187" spans="1:6">
      <c r="A187" s="35" t="s">
        <v>70</v>
      </c>
      <c r="B187" s="50">
        <v>1995</v>
      </c>
      <c r="C187" s="35" t="s">
        <v>334</v>
      </c>
      <c r="D187" s="36">
        <v>43852</v>
      </c>
      <c r="E187" s="7">
        <v>43872</v>
      </c>
      <c r="F187" s="35">
        <v>186</v>
      </c>
    </row>
    <row r="188" spans="1:6">
      <c r="A188" s="35" t="s">
        <v>59</v>
      </c>
      <c r="B188" s="50">
        <v>279300</v>
      </c>
      <c r="C188" s="35" t="s">
        <v>334</v>
      </c>
      <c r="D188" s="36">
        <v>43840</v>
      </c>
      <c r="E188" s="7">
        <v>43870</v>
      </c>
      <c r="F188" s="35">
        <v>187</v>
      </c>
    </row>
    <row r="189" spans="1:6">
      <c r="A189" s="35" t="s">
        <v>70</v>
      </c>
      <c r="B189" s="50">
        <v>1563.23</v>
      </c>
      <c r="C189" s="35" t="s">
        <v>334</v>
      </c>
      <c r="D189" s="36">
        <v>43854</v>
      </c>
      <c r="E189" s="7">
        <v>43874</v>
      </c>
      <c r="F189" s="35">
        <v>188</v>
      </c>
    </row>
    <row r="190" spans="1:6">
      <c r="A190" s="35" t="s">
        <v>70</v>
      </c>
      <c r="B190" s="50">
        <v>4488.75</v>
      </c>
      <c r="C190" s="35" t="s">
        <v>334</v>
      </c>
      <c r="D190" s="36">
        <v>43854</v>
      </c>
      <c r="E190" s="7">
        <v>43874</v>
      </c>
      <c r="F190" s="35">
        <v>189</v>
      </c>
    </row>
    <row r="191" spans="1:6">
      <c r="A191" s="35" t="s">
        <v>70</v>
      </c>
      <c r="B191" s="50">
        <v>2565</v>
      </c>
      <c r="C191" s="35" t="s">
        <v>334</v>
      </c>
      <c r="D191" s="36">
        <v>43854</v>
      </c>
      <c r="E191" s="7">
        <v>43874</v>
      </c>
      <c r="F191" s="35">
        <v>190</v>
      </c>
    </row>
    <row r="192" spans="1:6">
      <c r="A192" s="35" t="s">
        <v>70</v>
      </c>
      <c r="B192" s="50">
        <v>1282.5</v>
      </c>
      <c r="C192" s="35" t="s">
        <v>334</v>
      </c>
      <c r="D192" s="36">
        <v>43854</v>
      </c>
      <c r="E192" s="7">
        <v>43874</v>
      </c>
      <c r="F192" s="35">
        <v>191</v>
      </c>
    </row>
    <row r="193" spans="1:6">
      <c r="A193" s="35" t="s">
        <v>70</v>
      </c>
      <c r="B193" s="50">
        <v>1033.1300000000001</v>
      </c>
      <c r="C193" s="35" t="s">
        <v>334</v>
      </c>
      <c r="D193" s="36">
        <v>43854</v>
      </c>
      <c r="E193" s="7">
        <v>43874</v>
      </c>
      <c r="F193" s="35">
        <v>192</v>
      </c>
    </row>
    <row r="194" spans="1:6">
      <c r="A194" s="35" t="s">
        <v>33</v>
      </c>
      <c r="B194" s="50">
        <v>379.41</v>
      </c>
      <c r="C194" s="35" t="s">
        <v>334</v>
      </c>
      <c r="D194" s="36">
        <v>43853</v>
      </c>
      <c r="E194" s="7">
        <v>43860</v>
      </c>
      <c r="F194" s="35">
        <v>193</v>
      </c>
    </row>
    <row r="195" spans="1:6">
      <c r="A195" s="35" t="s">
        <v>70</v>
      </c>
      <c r="B195" s="50">
        <v>-71.25</v>
      </c>
      <c r="C195" s="35" t="s">
        <v>333</v>
      </c>
      <c r="D195" s="36">
        <v>43854</v>
      </c>
      <c r="E195" s="13">
        <v>43874</v>
      </c>
      <c r="F195" s="35">
        <v>194</v>
      </c>
    </row>
    <row r="196" spans="1:6">
      <c r="A196" s="35" t="s">
        <v>33</v>
      </c>
      <c r="B196" s="50">
        <v>155.35</v>
      </c>
      <c r="C196" s="35" t="s">
        <v>334</v>
      </c>
      <c r="D196" s="36">
        <v>43854</v>
      </c>
      <c r="E196" s="7">
        <v>43861</v>
      </c>
      <c r="F196" s="35">
        <v>195</v>
      </c>
    </row>
    <row r="197" spans="1:6">
      <c r="A197" s="35" t="s">
        <v>70</v>
      </c>
      <c r="B197" s="50">
        <v>1282.5</v>
      </c>
      <c r="C197" s="35" t="s">
        <v>334</v>
      </c>
      <c r="D197" s="36">
        <v>43857</v>
      </c>
      <c r="E197" s="7">
        <v>43877</v>
      </c>
      <c r="F197" s="35">
        <v>196</v>
      </c>
    </row>
    <row r="198" spans="1:6">
      <c r="A198" s="35" t="s">
        <v>59</v>
      </c>
      <c r="B198" s="50">
        <v>13750</v>
      </c>
      <c r="C198" s="35" t="s">
        <v>334</v>
      </c>
      <c r="D198" s="36">
        <v>44192</v>
      </c>
      <c r="E198" s="7">
        <v>43845</v>
      </c>
      <c r="F198" s="35">
        <v>197</v>
      </c>
    </row>
    <row r="199" spans="1:6">
      <c r="A199" s="35" t="s">
        <v>59</v>
      </c>
      <c r="B199" s="50">
        <v>2343.64</v>
      </c>
      <c r="C199" s="35" t="s">
        <v>334</v>
      </c>
      <c r="D199" s="36">
        <v>43834</v>
      </c>
      <c r="E199" s="7">
        <v>43864</v>
      </c>
      <c r="F199" s="35">
        <v>198</v>
      </c>
    </row>
    <row r="200" spans="1:6">
      <c r="A200" s="35" t="s">
        <v>59</v>
      </c>
      <c r="B200" s="50">
        <v>314.75</v>
      </c>
      <c r="C200" s="35" t="s">
        <v>334</v>
      </c>
      <c r="D200" s="36">
        <v>43838</v>
      </c>
      <c r="E200" s="7">
        <v>43889</v>
      </c>
      <c r="F200" s="35">
        <v>199</v>
      </c>
    </row>
    <row r="201" spans="1:6">
      <c r="A201" s="35" t="s">
        <v>59</v>
      </c>
      <c r="B201" s="50">
        <v>18125</v>
      </c>
      <c r="C201" s="35" t="s">
        <v>334</v>
      </c>
      <c r="D201" s="36">
        <v>43857</v>
      </c>
      <c r="E201" s="8" t="s">
        <v>137</v>
      </c>
      <c r="F201" s="35">
        <v>200</v>
      </c>
    </row>
    <row r="202" spans="1:6">
      <c r="A202" s="35" t="s">
        <v>12</v>
      </c>
      <c r="B202" s="50">
        <v>562.5</v>
      </c>
      <c r="C202" s="35" t="s">
        <v>334</v>
      </c>
      <c r="D202" s="36">
        <v>43858</v>
      </c>
      <c r="E202" s="7">
        <v>43891</v>
      </c>
      <c r="F202" s="35">
        <v>201</v>
      </c>
    </row>
    <row r="203" spans="1:6">
      <c r="A203" s="35" t="s">
        <v>59</v>
      </c>
      <c r="C203" s="35" t="s">
        <v>333</v>
      </c>
      <c r="D203" s="36">
        <v>43854</v>
      </c>
      <c r="E203" s="21">
        <v>43871</v>
      </c>
      <c r="F203" s="35">
        <v>202</v>
      </c>
    </row>
    <row r="204" spans="1:6">
      <c r="A204" s="35" t="s">
        <v>54</v>
      </c>
      <c r="B204" s="50">
        <v>9321.4019388516026</v>
      </c>
      <c r="C204" s="35" t="s">
        <v>334</v>
      </c>
      <c r="D204" s="36">
        <v>43859</v>
      </c>
      <c r="E204" s="7">
        <v>43889</v>
      </c>
      <c r="F204" s="35">
        <v>203</v>
      </c>
    </row>
    <row r="205" spans="1:6">
      <c r="A205" s="35" t="s">
        <v>70</v>
      </c>
      <c r="B205" s="50">
        <v>712.5</v>
      </c>
      <c r="C205" s="35" t="s">
        <v>334</v>
      </c>
      <c r="D205" s="36">
        <v>43859</v>
      </c>
      <c r="E205" s="7">
        <v>43879</v>
      </c>
      <c r="F205" s="35">
        <v>204</v>
      </c>
    </row>
    <row r="206" spans="1:6">
      <c r="A206" s="35" t="s">
        <v>70</v>
      </c>
      <c r="B206" s="50">
        <v>712.5</v>
      </c>
      <c r="C206" s="35" t="s">
        <v>334</v>
      </c>
      <c r="D206" s="36">
        <v>43859</v>
      </c>
      <c r="E206" s="7">
        <v>43879</v>
      </c>
      <c r="F206" s="35">
        <v>205</v>
      </c>
    </row>
    <row r="207" spans="1:6">
      <c r="A207" t="s">
        <v>350</v>
      </c>
      <c r="B207" s="51">
        <v>43</v>
      </c>
      <c r="C207" t="s">
        <v>333</v>
      </c>
      <c r="D207">
        <v>43790</v>
      </c>
      <c r="E207" s="9">
        <v>43791</v>
      </c>
      <c r="F207" s="35"/>
    </row>
    <row r="208" spans="1:6">
      <c r="E208" s="9"/>
      <c r="F208" s="35"/>
    </row>
    <row r="209" spans="1:6">
      <c r="A209"/>
      <c r="B209" s="51"/>
      <c r="C209"/>
      <c r="D209"/>
      <c r="E209" s="9"/>
      <c r="F209" s="35"/>
    </row>
    <row r="210" spans="1:6">
      <c r="A210"/>
      <c r="B210" s="51"/>
      <c r="C210"/>
      <c r="D210"/>
      <c r="E210" s="9"/>
    </row>
    <row r="211" spans="1:6">
      <c r="A211"/>
      <c r="B211" s="51"/>
      <c r="C211"/>
      <c r="D211"/>
      <c r="E211" s="9"/>
    </row>
    <row r="212" spans="1:6">
      <c r="A212"/>
      <c r="B212" s="51"/>
      <c r="C212"/>
      <c r="D212"/>
      <c r="E212" s="9"/>
    </row>
    <row r="213" spans="1:6">
      <c r="A213"/>
      <c r="B213" s="51"/>
      <c r="C213"/>
      <c r="D213"/>
      <c r="E213" s="9"/>
    </row>
    <row r="214" spans="1:6">
      <c r="A214"/>
      <c r="B214" s="51"/>
      <c r="C214"/>
      <c r="D214"/>
      <c r="E214" s="9"/>
    </row>
    <row r="215" spans="1:6">
      <c r="A215"/>
      <c r="B215" s="51"/>
      <c r="C215"/>
      <c r="D215"/>
      <c r="E215" s="9"/>
    </row>
    <row r="216" spans="1:6">
      <c r="A216"/>
      <c r="B216" s="51"/>
      <c r="C216"/>
      <c r="D216"/>
      <c r="E216" s="9"/>
    </row>
    <row r="217" spans="1:6">
      <c r="A217"/>
      <c r="B217" s="51"/>
      <c r="C217"/>
      <c r="D217"/>
      <c r="E217" s="9"/>
    </row>
    <row r="218" spans="1:6">
      <c r="A218"/>
      <c r="B218" s="51"/>
      <c r="C218"/>
      <c r="D218"/>
      <c r="E218" s="9"/>
    </row>
    <row r="219" spans="1:6">
      <c r="A219"/>
      <c r="B219" s="51"/>
      <c r="C219"/>
      <c r="D219"/>
      <c r="E219" s="9"/>
    </row>
    <row r="220" spans="1:6">
      <c r="A220"/>
      <c r="B220" s="51"/>
      <c r="C220"/>
      <c r="D220"/>
      <c r="E220" s="9"/>
    </row>
    <row r="221" spans="1:6">
      <c r="A221"/>
      <c r="B221" s="51"/>
      <c r="C221"/>
      <c r="D221"/>
      <c r="E221" s="9"/>
    </row>
    <row r="222" spans="1:6">
      <c r="A222"/>
      <c r="B222" s="51"/>
      <c r="C222"/>
      <c r="D222"/>
      <c r="E222" s="9"/>
    </row>
    <row r="223" spans="1:6">
      <c r="A223"/>
      <c r="B223" s="51"/>
      <c r="C223"/>
      <c r="D223"/>
      <c r="E223" s="9"/>
    </row>
    <row r="224" spans="1:6">
      <c r="A224"/>
      <c r="B224" s="51"/>
      <c r="C224"/>
      <c r="D224"/>
      <c r="E224" s="9"/>
    </row>
    <row r="225" spans="1:5">
      <c r="A225"/>
      <c r="B225" s="51"/>
      <c r="C225"/>
      <c r="D225"/>
      <c r="E225" s="9"/>
    </row>
    <row r="226" spans="1:5">
      <c r="A226"/>
      <c r="B226" s="51"/>
      <c r="C226"/>
      <c r="D226"/>
      <c r="E226" s="9"/>
    </row>
    <row r="227" spans="1:5">
      <c r="A227"/>
      <c r="B227" s="51"/>
      <c r="C227"/>
      <c r="D227"/>
      <c r="E227" s="9"/>
    </row>
    <row r="228" spans="1:5">
      <c r="A228"/>
      <c r="B228" s="51"/>
      <c r="C228"/>
      <c r="D228"/>
    </row>
    <row r="229" spans="1:5">
      <c r="A229"/>
      <c r="B229" s="51"/>
      <c r="C229"/>
      <c r="D229"/>
    </row>
    <row r="230" spans="1:5">
      <c r="A230"/>
      <c r="B230" s="51"/>
      <c r="C230"/>
      <c r="D230"/>
    </row>
    <row r="231" spans="1:5">
      <c r="A231"/>
      <c r="B231" s="51"/>
      <c r="C231"/>
      <c r="D231"/>
    </row>
    <row r="232" spans="1:5">
      <c r="A232"/>
      <c r="B232" s="51"/>
      <c r="C232"/>
      <c r="D232"/>
    </row>
    <row r="233" spans="1:5">
      <c r="A233"/>
      <c r="B233" s="51"/>
      <c r="C233"/>
      <c r="D233"/>
    </row>
    <row r="234" spans="1:5">
      <c r="A234"/>
      <c r="B234" s="51"/>
      <c r="C234"/>
      <c r="D234"/>
    </row>
    <row r="235" spans="1:5">
      <c r="A235"/>
      <c r="B235" s="51"/>
      <c r="C235"/>
      <c r="D235"/>
    </row>
    <row r="236" spans="1:5">
      <c r="A236"/>
      <c r="B236" s="51"/>
      <c r="C236"/>
      <c r="D236"/>
    </row>
    <row r="237" spans="1:5">
      <c r="A237"/>
      <c r="B237" s="51"/>
      <c r="C237"/>
      <c r="D237"/>
    </row>
  </sheetData>
  <autoFilter ref="A1:E209"/>
  <dataValidations count="1">
    <dataValidation type="list" allowBlank="1" showInputMessage="1" showErrorMessage="1" sqref="O4:O7 U2 O213 O2 C2:C7">
      <formula1>$J$1:$J$2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6"/>
  <dimension ref="A1:N237"/>
  <sheetViews>
    <sheetView zoomScale="70" zoomScaleNormal="70" workbookViewId="0">
      <selection sqref="A1:E1048576"/>
    </sheetView>
  </sheetViews>
  <sheetFormatPr defaultRowHeight="15"/>
  <cols>
    <col min="1" max="1" width="15.5703125" style="35" bestFit="1" customWidth="1"/>
    <col min="2" max="2" width="13.7109375" style="50" bestFit="1" customWidth="1"/>
    <col min="3" max="3" width="13.7109375" style="35" bestFit="1" customWidth="1"/>
    <col min="4" max="4" width="17.42578125" style="36" bestFit="1" customWidth="1"/>
    <col min="5" max="5" width="20.7109375" style="25" customWidth="1"/>
    <col min="13" max="13" width="11.85546875" bestFit="1" customWidth="1"/>
    <col min="14" max="14" width="17.5703125" bestFit="1" customWidth="1"/>
  </cols>
  <sheetData>
    <row r="1" spans="1:14">
      <c r="A1" s="33" t="s">
        <v>331</v>
      </c>
      <c r="B1" s="34" t="s">
        <v>4</v>
      </c>
      <c r="C1" s="34" t="s">
        <v>332</v>
      </c>
      <c r="D1" s="1" t="s">
        <v>0</v>
      </c>
      <c r="E1" s="2" t="s">
        <v>1</v>
      </c>
      <c r="F1" s="35" t="s">
        <v>351</v>
      </c>
      <c r="J1" t="s">
        <v>334</v>
      </c>
    </row>
    <row r="2" spans="1:14">
      <c r="A2" s="35" t="s">
        <v>8</v>
      </c>
      <c r="B2" s="50">
        <v>717</v>
      </c>
      <c r="C2" s="35" t="s">
        <v>334</v>
      </c>
      <c r="D2" s="36">
        <v>43831</v>
      </c>
      <c r="E2" s="7">
        <v>43831</v>
      </c>
      <c r="F2" s="35">
        <v>1</v>
      </c>
      <c r="J2" t="s">
        <v>333</v>
      </c>
    </row>
    <row r="3" spans="1:14">
      <c r="A3" s="35" t="s">
        <v>10</v>
      </c>
      <c r="B3" s="50">
        <v>304.75</v>
      </c>
      <c r="C3" s="35" t="s">
        <v>334</v>
      </c>
      <c r="D3" s="36">
        <v>43831</v>
      </c>
      <c r="E3" s="7">
        <v>43832</v>
      </c>
      <c r="F3" s="35">
        <v>2</v>
      </c>
    </row>
    <row r="4" spans="1:14">
      <c r="A4" s="35" t="s">
        <v>12</v>
      </c>
      <c r="B4" s="50">
        <v>2500</v>
      </c>
      <c r="C4" s="35" t="s">
        <v>334</v>
      </c>
      <c r="D4" s="36">
        <v>43830</v>
      </c>
      <c r="E4" s="7">
        <v>43860</v>
      </c>
      <c r="F4" s="35">
        <v>3</v>
      </c>
    </row>
    <row r="5" spans="1:14">
      <c r="A5" s="35" t="s">
        <v>12</v>
      </c>
      <c r="B5" s="50">
        <v>1875</v>
      </c>
      <c r="C5" s="35" t="s">
        <v>334</v>
      </c>
      <c r="D5" s="36">
        <v>43830</v>
      </c>
      <c r="E5" s="7"/>
      <c r="F5" s="35">
        <v>4</v>
      </c>
    </row>
    <row r="6" spans="1:14">
      <c r="A6" s="35" t="s">
        <v>17</v>
      </c>
      <c r="B6" s="50">
        <v>782.1</v>
      </c>
      <c r="C6" s="35" t="s">
        <v>334</v>
      </c>
      <c r="D6" s="36">
        <v>43830</v>
      </c>
      <c r="E6" s="7">
        <v>43860</v>
      </c>
      <c r="F6" s="35">
        <v>5</v>
      </c>
    </row>
    <row r="7" spans="1:14">
      <c r="A7" s="35" t="s">
        <v>18</v>
      </c>
      <c r="B7" s="50">
        <v>-4429.5302013422815</v>
      </c>
      <c r="C7" s="35" t="s">
        <v>334</v>
      </c>
      <c r="D7" s="36">
        <v>43820</v>
      </c>
      <c r="E7" s="13"/>
      <c r="F7" s="35">
        <v>6</v>
      </c>
    </row>
    <row r="8" spans="1:14">
      <c r="A8" s="35" t="s">
        <v>18</v>
      </c>
      <c r="B8" s="50">
        <v>273637.58389261749</v>
      </c>
      <c r="C8" s="35" t="s">
        <v>334</v>
      </c>
      <c r="D8" s="36">
        <v>43820</v>
      </c>
      <c r="E8" s="7">
        <v>43834</v>
      </c>
      <c r="F8" s="35">
        <v>7</v>
      </c>
    </row>
    <row r="9" spans="1:14">
      <c r="A9" s="35" t="s">
        <v>22</v>
      </c>
      <c r="B9" s="50">
        <v>49406.711409395968</v>
      </c>
      <c r="C9" s="35" t="s">
        <v>334</v>
      </c>
      <c r="D9" s="36">
        <v>43822</v>
      </c>
      <c r="E9" s="7">
        <v>43852</v>
      </c>
      <c r="F9" s="35">
        <v>8</v>
      </c>
    </row>
    <row r="10" spans="1:14">
      <c r="A10" s="35" t="s">
        <v>22</v>
      </c>
      <c r="B10" s="50">
        <v>27704.697986577179</v>
      </c>
      <c r="C10" s="35" t="s">
        <v>334</v>
      </c>
      <c r="D10" s="36">
        <v>43822</v>
      </c>
      <c r="E10" s="19">
        <v>43852</v>
      </c>
      <c r="F10" s="35">
        <v>9</v>
      </c>
      <c r="J10" s="35"/>
      <c r="K10" s="35"/>
      <c r="L10" s="35"/>
      <c r="M10" s="36"/>
      <c r="N10" s="32"/>
    </row>
    <row r="11" spans="1:14">
      <c r="A11" s="35" t="s">
        <v>25</v>
      </c>
      <c r="B11" s="50">
        <v>30675.615212527966</v>
      </c>
      <c r="C11" s="35" t="s">
        <v>334</v>
      </c>
      <c r="D11" s="36">
        <v>43826</v>
      </c>
      <c r="E11" s="7">
        <v>43866</v>
      </c>
      <c r="F11" s="35">
        <v>10</v>
      </c>
      <c r="J11" s="35"/>
      <c r="K11" s="35"/>
      <c r="L11" s="35"/>
      <c r="M11" s="36"/>
      <c r="N11" s="32"/>
    </row>
    <row r="12" spans="1:14">
      <c r="A12" s="35" t="s">
        <v>25</v>
      </c>
      <c r="B12" s="50">
        <v>53452.274422073082</v>
      </c>
      <c r="C12" s="35" t="s">
        <v>334</v>
      </c>
      <c r="D12" s="36">
        <v>43826</v>
      </c>
      <c r="E12" s="7">
        <v>43866</v>
      </c>
      <c r="F12" s="35">
        <v>11</v>
      </c>
      <c r="J12" s="35"/>
      <c r="K12" s="35"/>
      <c r="L12" s="35"/>
      <c r="M12" s="36"/>
      <c r="N12" s="32"/>
    </row>
    <row r="13" spans="1:14">
      <c r="A13" s="35" t="s">
        <v>28</v>
      </c>
      <c r="B13" s="50">
        <v>21554.80984340045</v>
      </c>
      <c r="C13" s="35" t="s">
        <v>334</v>
      </c>
      <c r="D13" s="36">
        <v>43822</v>
      </c>
      <c r="E13" s="7">
        <v>43853</v>
      </c>
      <c r="F13" s="35">
        <v>12</v>
      </c>
      <c r="J13" s="35"/>
      <c r="K13" s="35"/>
      <c r="L13" s="35"/>
      <c r="M13" s="36"/>
      <c r="N13" s="32"/>
    </row>
    <row r="14" spans="1:14">
      <c r="A14" s="35" t="s">
        <v>29</v>
      </c>
      <c r="B14" s="50">
        <v>23534.675615212527</v>
      </c>
      <c r="C14" s="35" t="s">
        <v>334</v>
      </c>
      <c r="D14" s="36">
        <v>43823</v>
      </c>
      <c r="E14" s="20">
        <v>43844</v>
      </c>
      <c r="F14" s="35">
        <v>13</v>
      </c>
      <c r="J14" s="35"/>
      <c r="K14" s="35"/>
      <c r="L14" s="35"/>
      <c r="M14" s="36"/>
      <c r="N14" s="32"/>
    </row>
    <row r="15" spans="1:14">
      <c r="A15" s="35" t="s">
        <v>31</v>
      </c>
      <c r="B15" s="50">
        <v>50111.856823266222</v>
      </c>
      <c r="C15" s="35" t="s">
        <v>334</v>
      </c>
      <c r="D15" s="36">
        <v>43819</v>
      </c>
      <c r="E15" s="7">
        <v>43850</v>
      </c>
      <c r="F15" s="35">
        <v>14</v>
      </c>
      <c r="J15" s="35"/>
      <c r="K15" s="35"/>
      <c r="L15" s="35"/>
      <c r="M15" s="36"/>
      <c r="N15" s="32"/>
    </row>
    <row r="16" spans="1:14">
      <c r="A16" s="35" t="s">
        <v>33</v>
      </c>
      <c r="B16" s="50">
        <v>739.08</v>
      </c>
      <c r="C16" s="35" t="s">
        <v>334</v>
      </c>
      <c r="D16" s="36">
        <v>43819</v>
      </c>
      <c r="E16" s="7">
        <v>43826</v>
      </c>
      <c r="F16" s="35">
        <v>15</v>
      </c>
      <c r="J16" s="35"/>
      <c r="K16" s="35"/>
      <c r="L16" s="35"/>
      <c r="M16" s="36"/>
      <c r="N16" s="32"/>
    </row>
    <row r="17" spans="1:14">
      <c r="A17" s="35" t="s">
        <v>34</v>
      </c>
      <c r="B17" s="50">
        <v>20875</v>
      </c>
      <c r="C17" s="35" t="s">
        <v>334</v>
      </c>
      <c r="D17" s="36">
        <v>43833</v>
      </c>
      <c r="E17" s="7">
        <v>43863</v>
      </c>
      <c r="F17" s="35">
        <v>16</v>
      </c>
      <c r="J17" s="35"/>
      <c r="K17" s="35"/>
      <c r="L17" s="35"/>
      <c r="M17" s="36"/>
      <c r="N17" s="32"/>
    </row>
    <row r="18" spans="1:14">
      <c r="A18" s="35" t="s">
        <v>36</v>
      </c>
      <c r="B18" s="50">
        <v>96727.73</v>
      </c>
      <c r="C18" s="35" t="s">
        <v>334</v>
      </c>
      <c r="D18" s="36">
        <v>43830</v>
      </c>
      <c r="E18" s="8" t="s">
        <v>35</v>
      </c>
      <c r="F18" s="35">
        <v>17</v>
      </c>
      <c r="J18" s="35"/>
      <c r="K18" s="35"/>
      <c r="L18" s="35"/>
      <c r="M18" s="36"/>
      <c r="N18" s="32"/>
    </row>
    <row r="19" spans="1:14">
      <c r="A19" s="35" t="s">
        <v>37</v>
      </c>
      <c r="B19" s="50">
        <v>2621.25</v>
      </c>
      <c r="C19" s="35" t="s">
        <v>334</v>
      </c>
      <c r="D19" s="36">
        <v>43832</v>
      </c>
      <c r="E19" s="7">
        <v>43840</v>
      </c>
      <c r="F19" s="35">
        <v>18</v>
      </c>
      <c r="J19" s="35"/>
      <c r="K19" s="35"/>
      <c r="L19" s="35"/>
      <c r="M19" s="36"/>
      <c r="N19" s="32"/>
    </row>
    <row r="20" spans="1:14">
      <c r="A20" s="35" t="s">
        <v>38</v>
      </c>
      <c r="B20" s="50">
        <v>848.29</v>
      </c>
      <c r="C20" s="35" t="s">
        <v>334</v>
      </c>
      <c r="D20" s="36">
        <v>43829</v>
      </c>
      <c r="E20" s="7">
        <v>43843</v>
      </c>
      <c r="F20" s="35">
        <v>19</v>
      </c>
      <c r="J20" s="35"/>
      <c r="K20" s="35"/>
      <c r="L20" s="35"/>
      <c r="M20" s="36"/>
      <c r="N20" s="32"/>
    </row>
    <row r="21" spans="1:14">
      <c r="A21" s="35" t="s">
        <v>40</v>
      </c>
      <c r="B21" s="50">
        <v>5807.51</v>
      </c>
      <c r="C21" s="35" t="s">
        <v>334</v>
      </c>
      <c r="D21" s="36">
        <v>43829</v>
      </c>
      <c r="E21" s="7">
        <v>43837</v>
      </c>
      <c r="F21" s="35">
        <v>20</v>
      </c>
      <c r="J21" s="35"/>
      <c r="K21" s="35"/>
      <c r="L21" s="35"/>
      <c r="M21" s="36"/>
      <c r="N21" s="32"/>
    </row>
    <row r="22" spans="1:14">
      <c r="A22" s="35" t="s">
        <v>40</v>
      </c>
      <c r="B22" s="50">
        <v>7646.94</v>
      </c>
      <c r="C22" s="35" t="s">
        <v>334</v>
      </c>
      <c r="D22" s="36">
        <v>43829</v>
      </c>
      <c r="E22" s="7">
        <v>43837</v>
      </c>
      <c r="F22" s="35">
        <v>21</v>
      </c>
      <c r="J22" s="35"/>
      <c r="K22" s="35"/>
      <c r="L22" s="35"/>
      <c r="M22" s="36"/>
      <c r="N22" s="32"/>
    </row>
    <row r="23" spans="1:14">
      <c r="A23" s="35" t="s">
        <v>40</v>
      </c>
      <c r="B23" s="50">
        <v>2125.63</v>
      </c>
      <c r="C23" s="35" t="s">
        <v>334</v>
      </c>
      <c r="D23" s="36">
        <v>43829</v>
      </c>
      <c r="E23" s="7">
        <v>43837</v>
      </c>
      <c r="F23" s="35">
        <v>22</v>
      </c>
      <c r="J23" s="35"/>
      <c r="K23" s="35"/>
      <c r="L23" s="35"/>
      <c r="M23" s="36"/>
      <c r="N23" s="32"/>
    </row>
    <row r="24" spans="1:14">
      <c r="A24" s="35" t="s">
        <v>40</v>
      </c>
      <c r="B24" s="50">
        <v>6615</v>
      </c>
      <c r="C24" s="35" t="s">
        <v>334</v>
      </c>
      <c r="D24" s="36">
        <v>43829</v>
      </c>
      <c r="E24" s="7">
        <v>43837</v>
      </c>
      <c r="F24" s="35">
        <v>23</v>
      </c>
      <c r="J24" s="35"/>
      <c r="K24" s="35"/>
      <c r="L24" s="35"/>
      <c r="M24" s="36"/>
      <c r="N24" s="32"/>
    </row>
    <row r="25" spans="1:14">
      <c r="A25" s="35" t="s">
        <v>29</v>
      </c>
      <c r="B25" s="50">
        <v>32960.477255779268</v>
      </c>
      <c r="C25" s="35" t="s">
        <v>334</v>
      </c>
      <c r="D25" s="36">
        <v>43830</v>
      </c>
      <c r="E25" s="7">
        <v>43844</v>
      </c>
      <c r="F25" s="35">
        <v>24</v>
      </c>
      <c r="J25" s="35"/>
      <c r="K25" s="35"/>
      <c r="L25" s="35"/>
      <c r="M25" s="36"/>
      <c r="N25" s="32"/>
    </row>
    <row r="26" spans="1:14">
      <c r="A26" s="35" t="s">
        <v>12</v>
      </c>
      <c r="B26" s="50">
        <v>2625</v>
      </c>
      <c r="C26" s="35" t="s">
        <v>334</v>
      </c>
      <c r="D26" s="36">
        <v>43830</v>
      </c>
      <c r="E26" s="7">
        <v>43860</v>
      </c>
      <c r="F26" s="35">
        <v>25</v>
      </c>
      <c r="J26" s="35"/>
      <c r="K26" s="35"/>
      <c r="L26" s="35"/>
      <c r="M26" s="36"/>
      <c r="N26" s="32"/>
    </row>
    <row r="27" spans="1:14">
      <c r="A27" s="35" t="s">
        <v>12</v>
      </c>
      <c r="B27" s="50">
        <v>1268.75</v>
      </c>
      <c r="C27" s="35" t="s">
        <v>334</v>
      </c>
      <c r="D27" s="36">
        <v>43826</v>
      </c>
      <c r="E27" s="7">
        <v>43860</v>
      </c>
      <c r="F27" s="35">
        <v>26</v>
      </c>
      <c r="J27" s="35"/>
      <c r="K27" s="35"/>
      <c r="L27" s="35"/>
      <c r="M27" s="36"/>
      <c r="N27" s="32"/>
    </row>
    <row r="28" spans="1:14">
      <c r="A28" s="35" t="s">
        <v>12</v>
      </c>
      <c r="B28" s="50">
        <v>634.38</v>
      </c>
      <c r="C28" s="35" t="s">
        <v>334</v>
      </c>
      <c r="D28" s="36">
        <v>43826</v>
      </c>
      <c r="E28" s="7">
        <v>43860</v>
      </c>
      <c r="F28" s="35">
        <v>27</v>
      </c>
      <c r="J28" s="35"/>
      <c r="K28" s="35"/>
      <c r="L28" s="35"/>
      <c r="M28" s="36"/>
      <c r="N28" s="32"/>
    </row>
    <row r="29" spans="1:14">
      <c r="A29" s="35" t="s">
        <v>46</v>
      </c>
      <c r="B29" s="50">
        <v>12000</v>
      </c>
      <c r="C29" s="35" t="s">
        <v>334</v>
      </c>
      <c r="D29" s="36">
        <v>43817</v>
      </c>
      <c r="E29" s="7">
        <v>43831</v>
      </c>
      <c r="F29" s="35">
        <v>28</v>
      </c>
      <c r="J29" s="35"/>
      <c r="K29" s="35"/>
      <c r="L29" s="35"/>
      <c r="M29" s="36"/>
      <c r="N29" s="32"/>
    </row>
    <row r="30" spans="1:14">
      <c r="A30" s="35" t="s">
        <v>47</v>
      </c>
      <c r="B30" s="50">
        <v>11862.5</v>
      </c>
      <c r="C30" s="35" t="s">
        <v>334</v>
      </c>
      <c r="D30" s="36">
        <v>43822</v>
      </c>
      <c r="E30" s="7">
        <v>43832</v>
      </c>
      <c r="F30" s="35">
        <v>29</v>
      </c>
      <c r="J30" s="35"/>
      <c r="K30" s="35"/>
      <c r="L30" s="35"/>
      <c r="M30" s="36"/>
      <c r="N30" s="32"/>
    </row>
    <row r="31" spans="1:14">
      <c r="A31" s="35" t="s">
        <v>48</v>
      </c>
      <c r="B31" s="50">
        <v>2400</v>
      </c>
      <c r="C31" s="35" t="s">
        <v>334</v>
      </c>
      <c r="D31" s="36">
        <v>43825</v>
      </c>
      <c r="E31" s="7">
        <v>43833</v>
      </c>
      <c r="F31" s="35">
        <v>30</v>
      </c>
      <c r="J31" s="35"/>
      <c r="K31" s="35"/>
      <c r="L31" s="35"/>
      <c r="M31" s="36"/>
      <c r="N31" s="32"/>
    </row>
    <row r="32" spans="1:14">
      <c r="A32" s="35" t="s">
        <v>49</v>
      </c>
      <c r="B32" s="50">
        <v>1384</v>
      </c>
      <c r="C32" s="35" t="s">
        <v>334</v>
      </c>
      <c r="D32" s="36">
        <v>43821</v>
      </c>
      <c r="E32" s="7">
        <v>43826</v>
      </c>
      <c r="F32" s="35">
        <v>31</v>
      </c>
      <c r="J32" s="35"/>
      <c r="K32" s="35"/>
      <c r="L32" s="35"/>
      <c r="M32" s="36"/>
      <c r="N32" s="32"/>
    </row>
    <row r="33" spans="1:14">
      <c r="A33" s="35" t="s">
        <v>49</v>
      </c>
      <c r="B33" s="50">
        <v>328.75</v>
      </c>
      <c r="C33" s="35" t="s">
        <v>334</v>
      </c>
      <c r="D33" s="36">
        <v>43831</v>
      </c>
      <c r="E33" s="7">
        <v>43840</v>
      </c>
      <c r="F33" s="35">
        <v>32</v>
      </c>
      <c r="J33" s="35"/>
      <c r="K33" s="35"/>
      <c r="L33" s="35"/>
      <c r="M33" s="36"/>
      <c r="N33" s="32"/>
    </row>
    <row r="34" spans="1:14">
      <c r="A34" s="35" t="s">
        <v>10</v>
      </c>
      <c r="B34" s="50">
        <v>304.75</v>
      </c>
      <c r="C34" s="35" t="s">
        <v>334</v>
      </c>
      <c r="D34" s="36">
        <v>43831</v>
      </c>
      <c r="E34" s="7">
        <v>43832</v>
      </c>
      <c r="F34" s="35">
        <v>33</v>
      </c>
      <c r="J34" s="35"/>
      <c r="K34" s="35"/>
      <c r="L34" s="35"/>
      <c r="M34" s="36"/>
      <c r="N34" s="32"/>
    </row>
    <row r="35" spans="1:14">
      <c r="A35" s="35" t="s">
        <v>51</v>
      </c>
      <c r="B35" s="50">
        <v>314.75</v>
      </c>
      <c r="C35" s="35" t="s">
        <v>334</v>
      </c>
      <c r="D35" s="36">
        <v>43805</v>
      </c>
      <c r="E35" s="7">
        <v>43861</v>
      </c>
      <c r="F35" s="35">
        <v>34</v>
      </c>
      <c r="J35" s="35"/>
      <c r="K35" s="35"/>
      <c r="L35" s="35"/>
      <c r="M35" s="36"/>
      <c r="N35" s="32"/>
    </row>
    <row r="36" spans="1:14">
      <c r="A36" s="35" t="s">
        <v>52</v>
      </c>
      <c r="B36" s="50">
        <v>311.25</v>
      </c>
      <c r="C36" s="35" t="s">
        <v>334</v>
      </c>
      <c r="D36" s="36">
        <v>43812</v>
      </c>
      <c r="E36" s="7">
        <v>43842</v>
      </c>
      <c r="F36" s="35">
        <v>35</v>
      </c>
      <c r="J36" s="35"/>
      <c r="K36" s="35"/>
      <c r="L36" s="35"/>
      <c r="M36" s="36"/>
      <c r="N36" s="32"/>
    </row>
    <row r="37" spans="1:14">
      <c r="A37" s="35" t="s">
        <v>53</v>
      </c>
      <c r="B37" s="50">
        <v>2970</v>
      </c>
      <c r="C37" s="35" t="s">
        <v>334</v>
      </c>
      <c r="D37" s="36">
        <v>43817</v>
      </c>
      <c r="E37" s="7">
        <v>43825</v>
      </c>
      <c r="F37" s="35">
        <v>36</v>
      </c>
      <c r="J37" s="35"/>
      <c r="K37" s="35"/>
      <c r="L37" s="35"/>
      <c r="M37" s="36"/>
      <c r="N37" s="32"/>
    </row>
    <row r="38" spans="1:14">
      <c r="A38" s="35" t="s">
        <v>54</v>
      </c>
      <c r="B38" s="50">
        <v>3728.5607755406413</v>
      </c>
      <c r="C38" s="35" t="s">
        <v>333</v>
      </c>
      <c r="D38" s="36">
        <v>43822</v>
      </c>
      <c r="E38" s="7">
        <v>43852</v>
      </c>
      <c r="F38" s="35">
        <v>37</v>
      </c>
      <c r="J38" s="35"/>
      <c r="K38" s="35"/>
      <c r="L38" s="35"/>
      <c r="M38" s="36"/>
      <c r="N38" s="32"/>
    </row>
    <row r="39" spans="1:14">
      <c r="A39" s="35" t="s">
        <v>54</v>
      </c>
      <c r="B39" s="50">
        <v>3728.5607755406413</v>
      </c>
      <c r="C39" s="35" t="s">
        <v>334</v>
      </c>
      <c r="D39" s="36">
        <v>43822</v>
      </c>
      <c r="E39" s="7">
        <v>43852</v>
      </c>
      <c r="F39" s="35">
        <v>38</v>
      </c>
      <c r="J39" s="35"/>
      <c r="K39" s="35"/>
      <c r="L39" s="35"/>
      <c r="M39" s="36"/>
      <c r="N39" s="32"/>
    </row>
    <row r="40" spans="1:14">
      <c r="A40" s="35" t="s">
        <v>12</v>
      </c>
      <c r="B40" s="50">
        <v>3056.25</v>
      </c>
      <c r="C40" s="35" t="s">
        <v>334</v>
      </c>
      <c r="D40" s="36">
        <v>43818</v>
      </c>
      <c r="E40" s="7">
        <v>43860</v>
      </c>
      <c r="F40" s="35">
        <v>39</v>
      </c>
      <c r="J40" s="35"/>
      <c r="K40" s="35"/>
      <c r="L40" s="35"/>
      <c r="M40" s="36"/>
      <c r="N40" s="32"/>
    </row>
    <row r="41" spans="1:14">
      <c r="A41" s="35" t="s">
        <v>25</v>
      </c>
      <c r="B41" s="50">
        <v>14037.583892617451</v>
      </c>
      <c r="C41" s="35" t="s">
        <v>334</v>
      </c>
      <c r="D41" s="36">
        <v>43816</v>
      </c>
      <c r="E41" s="7">
        <v>43856</v>
      </c>
      <c r="F41" s="35">
        <v>40</v>
      </c>
      <c r="J41" s="35"/>
      <c r="K41" s="35"/>
      <c r="L41" s="35"/>
      <c r="M41" s="36"/>
      <c r="N41" s="32"/>
    </row>
    <row r="42" spans="1:14">
      <c r="A42" s="35" t="s">
        <v>59</v>
      </c>
      <c r="B42" s="50">
        <v>6328.13</v>
      </c>
      <c r="C42" s="35" t="s">
        <v>334</v>
      </c>
      <c r="D42" s="36">
        <v>43817</v>
      </c>
      <c r="E42" s="7">
        <v>43860</v>
      </c>
      <c r="F42" s="35">
        <v>41</v>
      </c>
      <c r="J42" s="35"/>
      <c r="K42" s="35"/>
      <c r="L42" s="35"/>
      <c r="M42" s="36"/>
      <c r="N42" s="32"/>
    </row>
    <row r="43" spans="1:14">
      <c r="A43" s="35" t="s">
        <v>59</v>
      </c>
      <c r="B43" s="50">
        <v>1687.5</v>
      </c>
      <c r="C43" s="35" t="s">
        <v>334</v>
      </c>
      <c r="D43" s="36">
        <v>43829</v>
      </c>
      <c r="E43" s="7">
        <v>43860</v>
      </c>
      <c r="F43" s="35">
        <v>42</v>
      </c>
      <c r="J43" s="35"/>
      <c r="K43" s="35"/>
      <c r="L43" s="35"/>
      <c r="M43" s="36"/>
      <c r="N43" s="32"/>
    </row>
    <row r="44" spans="1:14">
      <c r="A44" s="35" t="s">
        <v>54</v>
      </c>
      <c r="B44" s="50">
        <v>20507.084265473528</v>
      </c>
      <c r="C44" s="35" t="s">
        <v>334</v>
      </c>
      <c r="D44" s="36">
        <v>43826</v>
      </c>
      <c r="E44" s="7">
        <v>43856</v>
      </c>
      <c r="F44" s="35">
        <v>43</v>
      </c>
      <c r="J44" s="35"/>
      <c r="K44" s="35"/>
      <c r="L44" s="35"/>
      <c r="M44" s="36"/>
      <c r="N44" s="32"/>
    </row>
    <row r="45" spans="1:14">
      <c r="A45" s="35" t="s">
        <v>54</v>
      </c>
      <c r="B45" s="50">
        <v>9321.4019388516026</v>
      </c>
      <c r="C45" s="35" t="s">
        <v>334</v>
      </c>
      <c r="D45" s="36">
        <v>43826</v>
      </c>
      <c r="E45" s="7">
        <v>43856</v>
      </c>
      <c r="F45" s="35">
        <v>44</v>
      </c>
      <c r="J45" s="35"/>
      <c r="K45" s="35"/>
      <c r="L45" s="35"/>
      <c r="M45" s="36"/>
      <c r="N45" s="32"/>
    </row>
    <row r="46" spans="1:14">
      <c r="A46" s="35" t="s">
        <v>12</v>
      </c>
      <c r="B46" s="50">
        <v>2546.88</v>
      </c>
      <c r="C46" s="35" t="s">
        <v>334</v>
      </c>
      <c r="D46" s="36">
        <v>43822</v>
      </c>
      <c r="E46" s="7">
        <v>43860</v>
      </c>
      <c r="F46" s="35">
        <v>45</v>
      </c>
      <c r="J46" s="35"/>
      <c r="K46" s="35"/>
      <c r="L46" s="35"/>
      <c r="M46" s="36"/>
      <c r="N46" s="32"/>
    </row>
    <row r="47" spans="1:14">
      <c r="A47" s="35" t="s">
        <v>12</v>
      </c>
      <c r="B47" s="50">
        <v>3750</v>
      </c>
      <c r="C47" s="35" t="s">
        <v>334</v>
      </c>
      <c r="D47" s="36">
        <v>43819</v>
      </c>
      <c r="E47" s="7">
        <v>43860</v>
      </c>
      <c r="F47" s="35">
        <v>46</v>
      </c>
      <c r="J47" s="35"/>
      <c r="K47" s="35"/>
      <c r="L47" s="35"/>
      <c r="M47" s="36"/>
      <c r="N47" s="32"/>
    </row>
    <row r="48" spans="1:14">
      <c r="A48" s="35" t="s">
        <v>36</v>
      </c>
      <c r="B48" s="50">
        <v>-10875</v>
      </c>
      <c r="C48" s="35" t="s">
        <v>333</v>
      </c>
      <c r="D48" s="36">
        <v>43830</v>
      </c>
      <c r="E48" s="14" t="s">
        <v>66</v>
      </c>
      <c r="F48" s="35">
        <v>47</v>
      </c>
      <c r="J48" s="35"/>
      <c r="K48" s="35"/>
      <c r="L48" s="35"/>
      <c r="M48" s="36"/>
      <c r="N48" s="32"/>
    </row>
    <row r="49" spans="1:14">
      <c r="A49" s="35" t="s">
        <v>68</v>
      </c>
      <c r="B49" s="50">
        <v>550</v>
      </c>
      <c r="C49" s="35" t="s">
        <v>334</v>
      </c>
      <c r="D49" s="36">
        <v>43830</v>
      </c>
      <c r="E49" s="7">
        <v>43838</v>
      </c>
      <c r="F49" s="35">
        <v>48</v>
      </c>
      <c r="J49" s="35"/>
      <c r="K49" s="35"/>
      <c r="L49" s="35"/>
      <c r="M49" s="36"/>
      <c r="N49" s="32"/>
    </row>
    <row r="50" spans="1:14">
      <c r="A50" s="35" t="s">
        <v>38</v>
      </c>
      <c r="B50" s="50">
        <v>856.76</v>
      </c>
      <c r="C50" s="35" t="s">
        <v>334</v>
      </c>
      <c r="D50" s="36">
        <v>43836</v>
      </c>
      <c r="E50" s="7">
        <v>43850</v>
      </c>
      <c r="F50" s="35">
        <v>49</v>
      </c>
      <c r="J50" s="35"/>
      <c r="K50" s="35"/>
      <c r="L50" s="35"/>
      <c r="M50" s="36"/>
      <c r="N50" s="32"/>
    </row>
    <row r="51" spans="1:14">
      <c r="A51" s="35" t="s">
        <v>29</v>
      </c>
      <c r="B51" s="50">
        <v>21834.451901565997</v>
      </c>
      <c r="C51" s="35" t="s">
        <v>334</v>
      </c>
      <c r="D51" s="36">
        <v>43833</v>
      </c>
      <c r="E51" s="7">
        <v>43854</v>
      </c>
      <c r="F51" s="35">
        <v>50</v>
      </c>
      <c r="J51" s="35"/>
      <c r="K51" s="35"/>
      <c r="L51" s="35"/>
      <c r="M51" s="36"/>
      <c r="N51" s="32"/>
    </row>
    <row r="52" spans="1:14">
      <c r="A52" s="35" t="s">
        <v>70</v>
      </c>
      <c r="B52" s="50">
        <v>11900</v>
      </c>
      <c r="C52" s="35" t="s">
        <v>334</v>
      </c>
      <c r="D52" s="36">
        <v>43836</v>
      </c>
      <c r="E52" s="7">
        <v>43856</v>
      </c>
      <c r="F52" s="35">
        <v>51</v>
      </c>
      <c r="J52" s="35"/>
      <c r="K52" s="35"/>
      <c r="L52" s="35"/>
      <c r="M52" s="36"/>
      <c r="N52" s="32"/>
    </row>
    <row r="53" spans="1:14">
      <c r="A53" s="35" t="s">
        <v>70</v>
      </c>
      <c r="B53" s="50">
        <v>980</v>
      </c>
      <c r="C53" s="35" t="s">
        <v>334</v>
      </c>
      <c r="D53" s="36">
        <v>43836</v>
      </c>
      <c r="E53" s="7">
        <v>43856</v>
      </c>
      <c r="F53" s="35">
        <v>52</v>
      </c>
      <c r="J53" s="35"/>
      <c r="K53" s="35"/>
      <c r="L53" s="35"/>
      <c r="M53" s="36"/>
      <c r="N53" s="32"/>
    </row>
    <row r="54" spans="1:14">
      <c r="A54" s="35" t="s">
        <v>70</v>
      </c>
      <c r="B54" s="50">
        <v>2968</v>
      </c>
      <c r="C54" s="35" t="s">
        <v>334</v>
      </c>
      <c r="D54" s="36">
        <v>43836</v>
      </c>
      <c r="E54" s="7">
        <v>43856</v>
      </c>
      <c r="F54" s="35">
        <v>53</v>
      </c>
      <c r="J54" s="35"/>
      <c r="K54" s="35"/>
      <c r="L54" s="35"/>
      <c r="M54" s="36"/>
      <c r="N54" s="32"/>
    </row>
    <row r="55" spans="1:14">
      <c r="A55" s="35" t="s">
        <v>70</v>
      </c>
      <c r="B55" s="50">
        <v>4900</v>
      </c>
      <c r="C55" s="35" t="s">
        <v>334</v>
      </c>
      <c r="D55" s="36">
        <v>43836</v>
      </c>
      <c r="E55" s="7">
        <v>43856</v>
      </c>
      <c r="F55" s="35">
        <v>54</v>
      </c>
      <c r="J55" s="35"/>
      <c r="K55" s="35"/>
      <c r="L55" s="35"/>
      <c r="M55" s="36"/>
      <c r="N55" s="32"/>
    </row>
    <row r="56" spans="1:14">
      <c r="A56" s="35" t="s">
        <v>70</v>
      </c>
      <c r="B56" s="50">
        <v>1015</v>
      </c>
      <c r="C56" s="35" t="s">
        <v>334</v>
      </c>
      <c r="D56" s="36">
        <v>43836</v>
      </c>
      <c r="E56" s="7">
        <v>43856</v>
      </c>
      <c r="F56" s="35">
        <v>55</v>
      </c>
      <c r="J56" s="35"/>
      <c r="K56" s="35"/>
      <c r="L56" s="35"/>
      <c r="M56" s="36"/>
      <c r="N56" s="32"/>
    </row>
    <row r="57" spans="1:14">
      <c r="A57" s="35" t="s">
        <v>12</v>
      </c>
      <c r="B57" s="50">
        <v>32490.68</v>
      </c>
      <c r="C57" s="35" t="s">
        <v>334</v>
      </c>
      <c r="D57" s="36">
        <v>43830</v>
      </c>
      <c r="E57" s="7">
        <v>43860</v>
      </c>
      <c r="F57" s="35">
        <v>56</v>
      </c>
      <c r="J57" s="35"/>
      <c r="K57" s="35"/>
      <c r="L57" s="35"/>
      <c r="M57" s="36"/>
      <c r="N57" s="32"/>
    </row>
    <row r="58" spans="1:14">
      <c r="A58" s="35" t="s">
        <v>70</v>
      </c>
      <c r="B58" s="50">
        <v>980</v>
      </c>
      <c r="C58" s="35" t="s">
        <v>334</v>
      </c>
      <c r="D58" s="36">
        <v>43836</v>
      </c>
      <c r="E58" s="7">
        <v>43856</v>
      </c>
      <c r="F58" s="35">
        <v>57</v>
      </c>
      <c r="J58" s="35"/>
      <c r="K58" s="35"/>
      <c r="L58" s="35"/>
      <c r="M58" s="36"/>
      <c r="N58" s="32"/>
    </row>
    <row r="59" spans="1:14">
      <c r="A59" s="35" t="s">
        <v>70</v>
      </c>
      <c r="B59" s="50">
        <v>1015</v>
      </c>
      <c r="C59" s="35" t="s">
        <v>334</v>
      </c>
      <c r="D59" s="36">
        <v>43836</v>
      </c>
      <c r="E59" s="7">
        <v>43856</v>
      </c>
      <c r="F59" s="35">
        <v>58</v>
      </c>
      <c r="J59" s="35"/>
      <c r="K59" s="35"/>
      <c r="L59" s="35"/>
      <c r="M59" s="36"/>
      <c r="N59" s="32"/>
    </row>
    <row r="60" spans="1:14">
      <c r="A60" s="35" t="s">
        <v>72</v>
      </c>
      <c r="B60" s="50">
        <v>28280.34</v>
      </c>
      <c r="C60" s="35" t="s">
        <v>334</v>
      </c>
      <c r="D60" s="36">
        <v>43805</v>
      </c>
      <c r="E60" s="7">
        <v>43836</v>
      </c>
      <c r="F60" s="35">
        <v>59</v>
      </c>
      <c r="J60" s="35"/>
      <c r="K60" s="35"/>
      <c r="L60" s="35"/>
      <c r="M60" s="36"/>
      <c r="N60" s="32"/>
    </row>
    <row r="61" spans="1:14">
      <c r="A61" s="35" t="s">
        <v>73</v>
      </c>
      <c r="B61" s="50">
        <v>1875</v>
      </c>
      <c r="C61" s="35" t="s">
        <v>334</v>
      </c>
      <c r="D61" s="36">
        <v>43832</v>
      </c>
      <c r="E61" s="7">
        <v>43840</v>
      </c>
      <c r="F61" s="35">
        <v>60</v>
      </c>
      <c r="J61" s="35"/>
      <c r="K61" s="35"/>
      <c r="L61" s="35"/>
      <c r="M61" s="36"/>
      <c r="N61" s="32"/>
    </row>
    <row r="62" spans="1:14">
      <c r="A62" s="35" t="s">
        <v>74</v>
      </c>
      <c r="B62" s="50">
        <v>3125</v>
      </c>
      <c r="C62" s="35" t="s">
        <v>334</v>
      </c>
      <c r="D62" s="36">
        <v>43836</v>
      </c>
      <c r="E62" s="7">
        <v>43846</v>
      </c>
      <c r="F62" s="35">
        <v>61</v>
      </c>
      <c r="J62" s="35"/>
      <c r="K62" s="35"/>
      <c r="L62" s="35"/>
      <c r="M62" s="36"/>
      <c r="N62" s="32"/>
    </row>
    <row r="63" spans="1:14">
      <c r="A63" s="35" t="s">
        <v>70</v>
      </c>
      <c r="B63" s="50">
        <v>10080</v>
      </c>
      <c r="C63" s="35" t="s">
        <v>334</v>
      </c>
      <c r="D63" s="36">
        <v>43836</v>
      </c>
      <c r="E63" s="7">
        <v>43856</v>
      </c>
      <c r="F63" s="35">
        <v>62</v>
      </c>
      <c r="J63" s="35"/>
      <c r="K63" s="35"/>
      <c r="L63" s="35"/>
      <c r="M63" s="36"/>
      <c r="N63" s="32"/>
    </row>
    <row r="64" spans="1:14">
      <c r="A64" s="35" t="s">
        <v>49</v>
      </c>
      <c r="B64" s="50">
        <v>660</v>
      </c>
      <c r="C64" s="35" t="s">
        <v>334</v>
      </c>
      <c r="D64" s="36">
        <v>43830</v>
      </c>
      <c r="E64" s="7">
        <v>43835</v>
      </c>
      <c r="F64" s="35">
        <v>63</v>
      </c>
      <c r="J64" s="35"/>
      <c r="K64" s="35"/>
      <c r="L64" s="35"/>
      <c r="M64" s="36"/>
      <c r="N64" s="32"/>
    </row>
    <row r="65" spans="1:14">
      <c r="A65" s="35" t="s">
        <v>75</v>
      </c>
      <c r="B65" s="50">
        <v>767.13</v>
      </c>
      <c r="C65" s="35" t="s">
        <v>334</v>
      </c>
      <c r="D65" s="36">
        <v>43827</v>
      </c>
      <c r="E65" s="7">
        <v>43832</v>
      </c>
      <c r="F65" s="35">
        <v>64</v>
      </c>
      <c r="J65" s="35"/>
      <c r="K65" s="35"/>
      <c r="L65" s="35"/>
      <c r="M65" s="36"/>
      <c r="N65" s="32"/>
    </row>
    <row r="66" spans="1:14">
      <c r="A66" s="35" t="s">
        <v>59</v>
      </c>
      <c r="B66" s="50">
        <v>13246</v>
      </c>
      <c r="C66" s="35" t="s">
        <v>334</v>
      </c>
      <c r="D66" s="36">
        <v>43830</v>
      </c>
      <c r="E66" s="7">
        <v>43844</v>
      </c>
      <c r="F66" s="35">
        <v>65</v>
      </c>
      <c r="J66" s="35"/>
      <c r="K66" s="35"/>
      <c r="L66" s="35"/>
      <c r="M66" s="36"/>
      <c r="N66" s="32"/>
    </row>
    <row r="67" spans="1:14">
      <c r="A67" s="35" t="s">
        <v>59</v>
      </c>
      <c r="B67" s="50">
        <v>1575</v>
      </c>
      <c r="C67" s="35" t="s">
        <v>334</v>
      </c>
      <c r="D67" s="36">
        <v>43837</v>
      </c>
      <c r="E67" s="7">
        <v>43857</v>
      </c>
      <c r="F67" s="35">
        <v>66</v>
      </c>
      <c r="J67" s="35"/>
      <c r="K67" s="35"/>
      <c r="L67" s="35"/>
      <c r="M67" s="36"/>
      <c r="N67" s="32"/>
    </row>
    <row r="68" spans="1:14">
      <c r="A68" s="35" t="s">
        <v>36</v>
      </c>
      <c r="B68" s="50">
        <v>224.24</v>
      </c>
      <c r="C68" s="35" t="s">
        <v>334</v>
      </c>
      <c r="D68" s="36">
        <v>43830</v>
      </c>
      <c r="E68" s="7">
        <v>43876</v>
      </c>
      <c r="F68" s="35">
        <v>67</v>
      </c>
      <c r="J68" s="35"/>
      <c r="K68" s="35"/>
      <c r="L68" s="35"/>
      <c r="M68" s="36"/>
      <c r="N68" s="32"/>
    </row>
    <row r="69" spans="1:14">
      <c r="A69" s="35" t="s">
        <v>36</v>
      </c>
      <c r="B69" s="50">
        <v>270.70999999999998</v>
      </c>
      <c r="C69" s="35" t="s">
        <v>334</v>
      </c>
      <c r="D69" s="36">
        <v>43830</v>
      </c>
      <c r="E69" s="7">
        <v>43876</v>
      </c>
      <c r="F69" s="35">
        <v>68</v>
      </c>
      <c r="J69" s="35"/>
      <c r="K69" s="35"/>
      <c r="L69" s="35"/>
      <c r="M69" s="36"/>
      <c r="N69" s="32"/>
    </row>
    <row r="70" spans="1:14">
      <c r="A70" s="35" t="s">
        <v>12</v>
      </c>
      <c r="B70" s="50">
        <v>12710.79</v>
      </c>
      <c r="C70" s="35" t="s">
        <v>334</v>
      </c>
      <c r="D70" s="36">
        <v>43830</v>
      </c>
      <c r="E70" s="7">
        <v>43860</v>
      </c>
      <c r="F70" s="35">
        <v>69</v>
      </c>
      <c r="J70" s="35"/>
      <c r="K70" s="35"/>
      <c r="L70" s="35"/>
      <c r="M70" s="36"/>
      <c r="N70" s="32"/>
    </row>
    <row r="71" spans="1:14">
      <c r="A71" s="35" t="s">
        <v>25</v>
      </c>
      <c r="B71" s="50">
        <v>49327.218493661443</v>
      </c>
      <c r="C71" s="35" t="s">
        <v>334</v>
      </c>
      <c r="D71" s="36">
        <v>43832</v>
      </c>
      <c r="E71" s="7">
        <v>43872</v>
      </c>
      <c r="F71" s="35">
        <v>70</v>
      </c>
      <c r="J71" s="35"/>
      <c r="K71" s="35"/>
      <c r="L71" s="35"/>
      <c r="M71" s="36"/>
      <c r="N71" s="32"/>
    </row>
    <row r="72" spans="1:14">
      <c r="A72" s="35" t="s">
        <v>59</v>
      </c>
      <c r="B72" s="50">
        <v>4021.9239373601795</v>
      </c>
      <c r="C72" s="35" t="s">
        <v>334</v>
      </c>
      <c r="D72" s="36">
        <v>43832</v>
      </c>
      <c r="E72" s="7">
        <v>43872</v>
      </c>
      <c r="F72" s="35">
        <v>71</v>
      </c>
      <c r="J72" s="35"/>
      <c r="K72" s="35"/>
      <c r="L72" s="35"/>
      <c r="M72" s="36"/>
      <c r="N72" s="32"/>
    </row>
    <row r="73" spans="1:14">
      <c r="A73" s="35" t="s">
        <v>59</v>
      </c>
      <c r="B73" s="50">
        <v>3606.1894108873976</v>
      </c>
      <c r="C73" s="35" t="s">
        <v>334</v>
      </c>
      <c r="D73" s="36">
        <v>43832</v>
      </c>
      <c r="E73" s="7">
        <v>43872</v>
      </c>
      <c r="F73" s="35">
        <v>72</v>
      </c>
      <c r="J73" s="35"/>
      <c r="K73" s="35"/>
      <c r="L73" s="35"/>
      <c r="M73" s="36"/>
      <c r="N73" s="32"/>
    </row>
    <row r="74" spans="1:14">
      <c r="A74" s="35" t="s">
        <v>59</v>
      </c>
      <c r="B74" s="50">
        <v>4808.2774049217005</v>
      </c>
      <c r="C74" s="35" t="s">
        <v>334</v>
      </c>
      <c r="D74" s="36">
        <v>43832</v>
      </c>
      <c r="E74" s="7">
        <v>43872</v>
      </c>
      <c r="F74" s="35">
        <v>73</v>
      </c>
      <c r="J74" s="35"/>
      <c r="K74" s="35"/>
      <c r="L74" s="35"/>
      <c r="M74" s="36"/>
      <c r="N74" s="32"/>
    </row>
    <row r="75" spans="1:14">
      <c r="A75" s="35" t="s">
        <v>25</v>
      </c>
      <c r="B75" s="50">
        <v>60161.073825503358</v>
      </c>
      <c r="C75" s="35" t="s">
        <v>334</v>
      </c>
      <c r="D75" s="36">
        <v>43832</v>
      </c>
      <c r="E75" s="7">
        <v>43872</v>
      </c>
      <c r="F75" s="35">
        <v>74</v>
      </c>
      <c r="J75" s="35"/>
      <c r="K75" s="35"/>
      <c r="L75" s="35"/>
      <c r="M75" s="36"/>
      <c r="N75" s="32"/>
    </row>
    <row r="76" spans="1:14">
      <c r="A76" s="35" t="s">
        <v>25</v>
      </c>
      <c r="B76" s="50">
        <v>8021.4765100671148</v>
      </c>
      <c r="C76" s="35" t="s">
        <v>334</v>
      </c>
      <c r="D76" s="36">
        <v>43832</v>
      </c>
      <c r="E76" s="7">
        <v>43872</v>
      </c>
      <c r="F76" s="35">
        <v>75</v>
      </c>
      <c r="J76" s="35"/>
      <c r="K76" s="35"/>
      <c r="L76" s="35"/>
      <c r="M76" s="36"/>
      <c r="N76" s="32"/>
    </row>
    <row r="77" spans="1:14">
      <c r="A77" s="35" t="s">
        <v>59</v>
      </c>
      <c r="B77" s="50">
        <v>12032.214765100671</v>
      </c>
      <c r="C77" s="35" t="s">
        <v>334</v>
      </c>
      <c r="D77" s="36">
        <v>43832</v>
      </c>
      <c r="E77" s="7">
        <v>43872</v>
      </c>
      <c r="F77" s="35">
        <v>76</v>
      </c>
      <c r="J77" s="35"/>
      <c r="K77" s="35"/>
      <c r="L77" s="35"/>
      <c r="M77" s="36"/>
      <c r="N77" s="32"/>
    </row>
    <row r="78" spans="1:14">
      <c r="A78" s="35" t="s">
        <v>12</v>
      </c>
      <c r="B78" s="50">
        <v>23229.98</v>
      </c>
      <c r="C78" s="35" t="s">
        <v>334</v>
      </c>
      <c r="D78" s="36">
        <v>43830</v>
      </c>
      <c r="E78" s="7">
        <v>43860</v>
      </c>
      <c r="F78" s="35">
        <v>77</v>
      </c>
      <c r="J78" s="35"/>
      <c r="K78" s="35"/>
      <c r="L78" s="35"/>
      <c r="M78" s="36"/>
      <c r="N78" s="32"/>
    </row>
    <row r="79" spans="1:14">
      <c r="A79" s="35" t="s">
        <v>12</v>
      </c>
      <c r="B79" s="50">
        <v>1715.63</v>
      </c>
      <c r="C79" s="35" t="s">
        <v>334</v>
      </c>
      <c r="D79" s="36">
        <v>43830</v>
      </c>
      <c r="E79" s="7">
        <v>43860</v>
      </c>
      <c r="F79" s="35">
        <v>78</v>
      </c>
      <c r="J79" s="35"/>
      <c r="K79" s="35"/>
      <c r="L79" s="35"/>
      <c r="M79" s="36"/>
      <c r="N79" s="32"/>
    </row>
    <row r="80" spans="1:14">
      <c r="A80" s="35" t="s">
        <v>12</v>
      </c>
      <c r="B80" s="50">
        <v>1268.75</v>
      </c>
      <c r="C80" s="35" t="s">
        <v>334</v>
      </c>
      <c r="D80" s="36">
        <v>43836</v>
      </c>
      <c r="E80" s="21">
        <v>43891</v>
      </c>
      <c r="F80" s="35">
        <v>79</v>
      </c>
      <c r="J80" s="35"/>
      <c r="K80" s="35"/>
      <c r="L80" s="35"/>
      <c r="M80" s="36"/>
      <c r="N80" s="32"/>
    </row>
    <row r="81" spans="1:14">
      <c r="A81" s="35" t="s">
        <v>70</v>
      </c>
      <c r="B81" s="50">
        <v>2280</v>
      </c>
      <c r="C81" s="35" t="s">
        <v>334</v>
      </c>
      <c r="D81" s="36">
        <v>43838</v>
      </c>
      <c r="E81" s="7">
        <v>43858</v>
      </c>
      <c r="F81" s="35">
        <v>80</v>
      </c>
      <c r="J81" s="35"/>
      <c r="K81" s="35"/>
      <c r="L81" s="35"/>
      <c r="M81" s="36"/>
      <c r="N81" s="32"/>
    </row>
    <row r="82" spans="1:14">
      <c r="A82" s="35" t="s">
        <v>70</v>
      </c>
      <c r="B82" s="50">
        <v>570</v>
      </c>
      <c r="C82" s="35" t="s">
        <v>334</v>
      </c>
      <c r="D82" s="36">
        <v>43838</v>
      </c>
      <c r="E82" s="7">
        <v>43858</v>
      </c>
      <c r="F82" s="35">
        <v>81</v>
      </c>
      <c r="J82" s="35"/>
      <c r="K82" s="35"/>
      <c r="L82" s="35"/>
      <c r="M82" s="36"/>
      <c r="N82" s="32"/>
    </row>
    <row r="83" spans="1:14">
      <c r="A83" s="35" t="s">
        <v>70</v>
      </c>
      <c r="B83" s="50">
        <v>570</v>
      </c>
      <c r="C83" s="35" t="s">
        <v>334</v>
      </c>
      <c r="D83" s="36">
        <v>43838</v>
      </c>
      <c r="E83" s="7">
        <v>43858</v>
      </c>
      <c r="F83" s="35">
        <v>82</v>
      </c>
      <c r="J83" s="35"/>
      <c r="K83" s="35"/>
      <c r="L83" s="35"/>
      <c r="M83" s="36"/>
      <c r="N83" s="32"/>
    </row>
    <row r="84" spans="1:14">
      <c r="A84" s="35" t="s">
        <v>70</v>
      </c>
      <c r="B84" s="50">
        <v>3613.8</v>
      </c>
      <c r="C84" s="35" t="s">
        <v>334</v>
      </c>
      <c r="D84" s="36">
        <v>43838</v>
      </c>
      <c r="E84" s="7">
        <v>43858</v>
      </c>
      <c r="F84" s="35">
        <v>83</v>
      </c>
      <c r="J84" s="35"/>
      <c r="K84" s="35"/>
      <c r="L84" s="35"/>
      <c r="M84" s="36"/>
      <c r="N84" s="32"/>
    </row>
    <row r="85" spans="1:14">
      <c r="A85" s="35" t="s">
        <v>70</v>
      </c>
      <c r="B85" s="50">
        <v>570</v>
      </c>
      <c r="C85" s="35" t="s">
        <v>334</v>
      </c>
      <c r="D85" s="36">
        <v>43838</v>
      </c>
      <c r="E85" s="7">
        <v>43858</v>
      </c>
      <c r="F85" s="35">
        <v>84</v>
      </c>
      <c r="J85" s="35"/>
      <c r="K85" s="35"/>
      <c r="L85" s="35"/>
      <c r="M85" s="36"/>
      <c r="N85" s="32"/>
    </row>
    <row r="86" spans="1:14">
      <c r="A86" s="35" t="s">
        <v>70</v>
      </c>
      <c r="B86" s="50">
        <v>570</v>
      </c>
      <c r="C86" s="35" t="s">
        <v>334</v>
      </c>
      <c r="D86" s="36">
        <v>43838</v>
      </c>
      <c r="E86" s="7">
        <v>43858</v>
      </c>
      <c r="F86" s="35">
        <v>85</v>
      </c>
      <c r="J86" s="35"/>
      <c r="K86" s="35"/>
      <c r="L86" s="35"/>
      <c r="M86" s="36"/>
      <c r="N86" s="32"/>
    </row>
    <row r="87" spans="1:14">
      <c r="A87" s="35" t="s">
        <v>70</v>
      </c>
      <c r="B87" s="50">
        <v>1710</v>
      </c>
      <c r="C87" s="35" t="s">
        <v>334</v>
      </c>
      <c r="D87" s="36">
        <v>43838</v>
      </c>
      <c r="E87" s="7">
        <v>43858</v>
      </c>
      <c r="F87" s="35">
        <v>86</v>
      </c>
      <c r="J87" s="35"/>
      <c r="K87" s="35"/>
      <c r="L87" s="35"/>
      <c r="M87" s="36"/>
      <c r="N87" s="32"/>
    </row>
    <row r="88" spans="1:14">
      <c r="A88" s="35" t="s">
        <v>12</v>
      </c>
      <c r="B88" s="50">
        <v>1175</v>
      </c>
      <c r="C88" s="35" t="s">
        <v>334</v>
      </c>
      <c r="D88" s="36">
        <v>43838</v>
      </c>
      <c r="E88" s="7">
        <v>43891</v>
      </c>
      <c r="F88" s="35">
        <v>87</v>
      </c>
      <c r="J88" s="35"/>
      <c r="K88" s="35"/>
      <c r="L88" s="35"/>
      <c r="M88" s="36"/>
      <c r="N88" s="32"/>
    </row>
    <row r="89" spans="1:14">
      <c r="A89" s="35" t="s">
        <v>12</v>
      </c>
      <c r="B89" s="50">
        <v>2812.5</v>
      </c>
      <c r="C89" s="35" t="s">
        <v>334</v>
      </c>
      <c r="D89" s="36">
        <v>43838</v>
      </c>
      <c r="E89" s="7">
        <v>43891</v>
      </c>
      <c r="F89" s="35">
        <v>88</v>
      </c>
      <c r="J89" s="35"/>
      <c r="K89" s="35"/>
      <c r="L89" s="35"/>
      <c r="M89" s="36"/>
      <c r="N89" s="32"/>
    </row>
    <row r="90" spans="1:14">
      <c r="A90" s="35" t="s">
        <v>12</v>
      </c>
      <c r="B90" s="50">
        <v>5906.25</v>
      </c>
      <c r="C90" s="35" t="s">
        <v>334</v>
      </c>
      <c r="D90" s="36">
        <v>43836</v>
      </c>
      <c r="E90" s="7">
        <v>43891</v>
      </c>
      <c r="F90" s="35">
        <v>89</v>
      </c>
      <c r="J90" s="35"/>
      <c r="K90" s="35"/>
      <c r="L90" s="35"/>
      <c r="M90" s="36"/>
      <c r="N90" s="32"/>
    </row>
    <row r="91" spans="1:14">
      <c r="A91" s="35" t="s">
        <v>31</v>
      </c>
      <c r="B91" s="50">
        <v>83757.718120805366</v>
      </c>
      <c r="C91" s="35" t="s">
        <v>334</v>
      </c>
      <c r="D91" s="36">
        <v>43836</v>
      </c>
      <c r="E91" s="21">
        <v>43867</v>
      </c>
      <c r="F91" s="35">
        <v>90</v>
      </c>
      <c r="J91" s="35"/>
      <c r="K91" s="35"/>
      <c r="L91" s="35"/>
      <c r="M91" s="36"/>
      <c r="N91" s="32"/>
    </row>
    <row r="92" spans="1:14">
      <c r="A92" s="35" t="s">
        <v>92</v>
      </c>
      <c r="B92" s="50">
        <v>647.5</v>
      </c>
      <c r="C92" s="35" t="s">
        <v>334</v>
      </c>
      <c r="D92" s="36">
        <v>43828</v>
      </c>
      <c r="E92" s="7">
        <v>43836</v>
      </c>
      <c r="F92" s="35">
        <v>91</v>
      </c>
      <c r="J92" s="35"/>
      <c r="K92" s="35"/>
      <c r="L92" s="35"/>
      <c r="M92" s="36"/>
      <c r="N92" s="32"/>
    </row>
    <row r="93" spans="1:14">
      <c r="A93" s="35" t="s">
        <v>33</v>
      </c>
      <c r="B93" s="50">
        <v>790.49</v>
      </c>
      <c r="C93" s="35" t="s">
        <v>334</v>
      </c>
      <c r="D93" s="36">
        <v>43838</v>
      </c>
      <c r="E93" s="7">
        <v>43845</v>
      </c>
      <c r="F93" s="35">
        <v>92</v>
      </c>
      <c r="J93" s="35"/>
      <c r="K93" s="35"/>
      <c r="L93" s="35"/>
      <c r="M93" s="36"/>
      <c r="N93" s="32"/>
    </row>
    <row r="94" spans="1:14">
      <c r="A94" s="35" t="s">
        <v>54</v>
      </c>
      <c r="B94" s="50">
        <v>7457.1215510812826</v>
      </c>
      <c r="C94" s="35" t="s">
        <v>334</v>
      </c>
      <c r="D94" s="36">
        <v>43838</v>
      </c>
      <c r="E94" s="7">
        <v>43869</v>
      </c>
      <c r="F94" s="35">
        <v>93</v>
      </c>
      <c r="J94" s="35"/>
      <c r="K94" s="35"/>
      <c r="L94" s="35"/>
      <c r="M94" s="36"/>
      <c r="N94" s="32"/>
    </row>
    <row r="95" spans="1:14">
      <c r="A95" s="35" t="s">
        <v>38</v>
      </c>
      <c r="B95" s="50">
        <v>848.29</v>
      </c>
      <c r="C95" s="35" t="s">
        <v>334</v>
      </c>
      <c r="D95" s="36">
        <v>43822</v>
      </c>
      <c r="E95" s="7">
        <v>43836</v>
      </c>
      <c r="F95" s="35">
        <v>94</v>
      </c>
      <c r="J95" s="35"/>
      <c r="K95" s="35"/>
      <c r="L95" s="35"/>
      <c r="M95" s="36"/>
      <c r="N95" s="32"/>
    </row>
    <row r="96" spans="1:14">
      <c r="A96" s="35" t="s">
        <v>94</v>
      </c>
      <c r="B96" s="50">
        <v>127378.07606263984</v>
      </c>
      <c r="C96" s="35" t="s">
        <v>334</v>
      </c>
      <c r="D96" s="36">
        <v>43815</v>
      </c>
      <c r="E96" s="7">
        <v>43850</v>
      </c>
      <c r="F96" s="35">
        <v>95</v>
      </c>
      <c r="J96" s="35"/>
      <c r="K96" s="35"/>
      <c r="L96" s="35"/>
      <c r="M96" s="36"/>
      <c r="N96" s="32"/>
    </row>
    <row r="97" spans="1:14">
      <c r="A97" s="35" t="s">
        <v>49</v>
      </c>
      <c r="B97" s="50">
        <v>1575.05</v>
      </c>
      <c r="C97" s="35" t="s">
        <v>334</v>
      </c>
      <c r="D97" s="36">
        <v>43839</v>
      </c>
      <c r="E97" s="7">
        <v>43844</v>
      </c>
      <c r="F97" s="35">
        <v>96</v>
      </c>
      <c r="J97" s="35"/>
      <c r="K97" s="35"/>
      <c r="L97" s="35"/>
      <c r="M97" s="36"/>
      <c r="N97" s="32"/>
    </row>
    <row r="98" spans="1:14">
      <c r="A98" s="35" t="s">
        <v>94</v>
      </c>
      <c r="B98" s="50">
        <v>238532.43847874721</v>
      </c>
      <c r="C98" s="35" t="s">
        <v>334</v>
      </c>
      <c r="D98" s="36">
        <v>43818</v>
      </c>
      <c r="E98" s="7">
        <v>43850</v>
      </c>
      <c r="F98" s="35">
        <v>97</v>
      </c>
      <c r="J98" s="35"/>
      <c r="K98" s="35"/>
      <c r="L98" s="35"/>
      <c r="M98" s="36"/>
      <c r="N98" s="32"/>
    </row>
    <row r="99" spans="1:14">
      <c r="A99" s="35" t="s">
        <v>33</v>
      </c>
      <c r="B99" s="50">
        <v>155.35</v>
      </c>
      <c r="C99" s="35" t="s">
        <v>334</v>
      </c>
      <c r="D99" s="36">
        <v>43839</v>
      </c>
      <c r="E99" s="7">
        <v>43846</v>
      </c>
      <c r="F99" s="35">
        <v>98</v>
      </c>
      <c r="J99" s="35"/>
      <c r="K99" s="35"/>
      <c r="L99" s="35"/>
      <c r="M99" s="36"/>
      <c r="N99" s="32"/>
    </row>
    <row r="100" spans="1:14">
      <c r="A100" s="35" t="s">
        <v>40</v>
      </c>
      <c r="B100" s="50">
        <v>2410.8000000000002</v>
      </c>
      <c r="C100" s="35" t="s">
        <v>334</v>
      </c>
      <c r="D100" s="36">
        <v>43839</v>
      </c>
      <c r="E100" s="7">
        <v>43847</v>
      </c>
      <c r="F100" s="35">
        <v>99</v>
      </c>
      <c r="J100" s="35"/>
      <c r="K100" s="35"/>
      <c r="L100" s="35"/>
      <c r="M100" s="36"/>
      <c r="N100" s="32"/>
    </row>
    <row r="101" spans="1:14">
      <c r="A101" s="35" t="s">
        <v>40</v>
      </c>
      <c r="B101" s="50">
        <v>2425.5</v>
      </c>
      <c r="C101" s="35" t="s">
        <v>334</v>
      </c>
      <c r="D101" s="36">
        <v>43839</v>
      </c>
      <c r="E101" s="7">
        <v>43847</v>
      </c>
      <c r="F101" s="35">
        <v>100</v>
      </c>
      <c r="J101" s="35"/>
      <c r="K101" s="35"/>
      <c r="L101" s="35"/>
      <c r="M101" s="36"/>
      <c r="N101" s="32"/>
    </row>
    <row r="102" spans="1:14">
      <c r="A102" s="35" t="s">
        <v>12</v>
      </c>
      <c r="B102" s="50">
        <v>24058.6</v>
      </c>
      <c r="C102" s="35" t="s">
        <v>334</v>
      </c>
      <c r="D102" s="36">
        <v>43839</v>
      </c>
      <c r="E102" s="7">
        <v>43891</v>
      </c>
      <c r="F102" s="35">
        <v>101</v>
      </c>
      <c r="J102" s="35"/>
      <c r="K102" s="35"/>
      <c r="L102" s="35"/>
      <c r="M102" s="36"/>
      <c r="N102" s="32"/>
    </row>
    <row r="103" spans="1:14">
      <c r="A103" s="35" t="s">
        <v>98</v>
      </c>
      <c r="B103" s="50">
        <v>2192.75</v>
      </c>
      <c r="C103" s="35" t="s">
        <v>334</v>
      </c>
      <c r="D103" s="36">
        <v>43839</v>
      </c>
      <c r="E103" s="7">
        <v>43853</v>
      </c>
      <c r="F103" s="35">
        <v>102</v>
      </c>
      <c r="J103" s="35"/>
      <c r="K103" s="35"/>
      <c r="L103" s="35"/>
      <c r="M103" s="36"/>
      <c r="N103" s="32"/>
    </row>
    <row r="104" spans="1:14">
      <c r="A104" s="35" t="s">
        <v>98</v>
      </c>
      <c r="B104" s="50">
        <v>40235</v>
      </c>
      <c r="C104" s="35" t="s">
        <v>334</v>
      </c>
      <c r="D104" s="36">
        <v>43839</v>
      </c>
      <c r="E104" s="7">
        <v>43853</v>
      </c>
      <c r="F104" s="35">
        <v>103</v>
      </c>
      <c r="J104" s="35"/>
      <c r="K104" s="35"/>
      <c r="L104" s="35"/>
      <c r="M104" s="36"/>
      <c r="N104" s="32"/>
    </row>
    <row r="105" spans="1:14">
      <c r="A105" s="35" t="s">
        <v>59</v>
      </c>
      <c r="B105" s="50">
        <v>1901.25</v>
      </c>
      <c r="C105" s="35" t="s">
        <v>334</v>
      </c>
      <c r="D105" s="36">
        <v>43839</v>
      </c>
      <c r="E105" s="7">
        <v>43846</v>
      </c>
      <c r="F105" s="35">
        <v>104</v>
      </c>
      <c r="J105" s="35"/>
      <c r="K105" s="35"/>
      <c r="L105" s="35"/>
      <c r="M105" s="36"/>
      <c r="N105" s="32"/>
    </row>
    <row r="106" spans="1:14">
      <c r="A106" s="35" t="s">
        <v>12</v>
      </c>
      <c r="B106" s="50">
        <v>7500</v>
      </c>
      <c r="C106" s="35" t="s">
        <v>334</v>
      </c>
      <c r="D106" s="36">
        <v>43830</v>
      </c>
      <c r="E106" s="7">
        <v>43860</v>
      </c>
      <c r="F106" s="35">
        <v>105</v>
      </c>
      <c r="J106" s="35"/>
      <c r="K106" s="35"/>
      <c r="L106" s="35"/>
      <c r="M106" s="36"/>
      <c r="N106" s="32"/>
    </row>
    <row r="107" spans="1:14">
      <c r="A107" s="35" t="s">
        <v>70</v>
      </c>
      <c r="B107" s="50">
        <v>3780</v>
      </c>
      <c r="C107" s="35" t="s">
        <v>334</v>
      </c>
      <c r="D107" s="36">
        <v>43839</v>
      </c>
      <c r="E107" s="7">
        <v>43859</v>
      </c>
      <c r="F107" s="35">
        <v>106</v>
      </c>
      <c r="J107" s="35"/>
      <c r="K107" s="35"/>
      <c r="L107" s="35"/>
      <c r="M107" s="36"/>
      <c r="N107" s="32"/>
    </row>
    <row r="108" spans="1:14">
      <c r="A108" s="35" t="s">
        <v>36</v>
      </c>
      <c r="B108" s="50">
        <v>78726.429999999993</v>
      </c>
      <c r="C108" s="35" t="s">
        <v>334</v>
      </c>
      <c r="D108" s="36">
        <v>43830</v>
      </c>
      <c r="E108" s="8" t="s">
        <v>35</v>
      </c>
      <c r="F108" s="35">
        <v>107</v>
      </c>
      <c r="J108" s="35"/>
      <c r="K108" s="35"/>
      <c r="L108" s="35"/>
      <c r="M108" s="36"/>
      <c r="N108" s="32"/>
    </row>
    <row r="109" spans="1:14">
      <c r="A109" s="35" t="s">
        <v>59</v>
      </c>
      <c r="B109" s="50">
        <v>483146.90529455629</v>
      </c>
      <c r="C109" s="35" t="s">
        <v>334</v>
      </c>
      <c r="D109" s="36">
        <v>43819</v>
      </c>
      <c r="E109" s="7">
        <v>43849</v>
      </c>
      <c r="F109" s="35">
        <v>108</v>
      </c>
      <c r="J109" s="35"/>
      <c r="K109" s="35"/>
      <c r="L109" s="35"/>
      <c r="M109" s="36"/>
      <c r="N109" s="32"/>
    </row>
    <row r="110" spans="1:14">
      <c r="A110" s="35" t="s">
        <v>36</v>
      </c>
      <c r="B110" s="50">
        <v>139.41</v>
      </c>
      <c r="C110" s="35" t="s">
        <v>334</v>
      </c>
      <c r="D110" s="36">
        <v>43839</v>
      </c>
      <c r="E110" s="7">
        <v>43905</v>
      </c>
      <c r="F110" s="35">
        <v>109</v>
      </c>
      <c r="J110" s="35"/>
      <c r="K110" s="35"/>
      <c r="L110" s="35"/>
      <c r="M110" s="36"/>
      <c r="N110" s="32"/>
    </row>
    <row r="111" spans="1:14">
      <c r="A111" s="35" t="s">
        <v>28</v>
      </c>
      <c r="B111" s="50">
        <v>2412.5</v>
      </c>
      <c r="C111" s="35" t="s">
        <v>334</v>
      </c>
      <c r="D111" s="36">
        <v>43836</v>
      </c>
      <c r="E111" s="7">
        <v>43850</v>
      </c>
      <c r="F111" s="35">
        <v>110</v>
      </c>
      <c r="J111" s="35"/>
      <c r="K111" s="35"/>
      <c r="L111" s="35"/>
      <c r="M111" s="36"/>
      <c r="N111" s="32"/>
    </row>
    <row r="112" spans="1:14">
      <c r="A112" s="35" t="s">
        <v>25</v>
      </c>
      <c r="B112" s="50">
        <v>10026.845637583892</v>
      </c>
      <c r="C112" s="35" t="s">
        <v>334</v>
      </c>
      <c r="D112" s="36">
        <v>43839</v>
      </c>
      <c r="E112" s="7">
        <v>43879</v>
      </c>
      <c r="F112" s="35">
        <v>111</v>
      </c>
      <c r="J112" s="35"/>
      <c r="K112" s="35"/>
      <c r="L112" s="35"/>
      <c r="M112" s="36"/>
      <c r="N112" s="32"/>
    </row>
    <row r="113" spans="1:14">
      <c r="A113" s="35" t="s">
        <v>25</v>
      </c>
      <c r="B113" s="50">
        <v>14037.583892617451</v>
      </c>
      <c r="C113" s="35" t="s">
        <v>334</v>
      </c>
      <c r="D113" s="36">
        <v>43839</v>
      </c>
      <c r="E113" s="7">
        <v>43879</v>
      </c>
      <c r="F113" s="35">
        <v>112</v>
      </c>
      <c r="J113" s="35"/>
      <c r="K113" s="35"/>
      <c r="L113" s="35"/>
      <c r="M113" s="36"/>
      <c r="N113" s="32"/>
    </row>
    <row r="114" spans="1:14">
      <c r="A114" s="35" t="s">
        <v>59</v>
      </c>
      <c r="B114" s="50">
        <v>38102.013422818789</v>
      </c>
      <c r="C114" s="35" t="s">
        <v>334</v>
      </c>
      <c r="D114" s="36">
        <v>43839</v>
      </c>
      <c r="E114" s="7">
        <v>43879</v>
      </c>
      <c r="F114" s="35">
        <v>113</v>
      </c>
      <c r="J114" s="35"/>
      <c r="K114" s="35"/>
      <c r="L114" s="35"/>
      <c r="M114" s="36"/>
      <c r="N114" s="32"/>
    </row>
    <row r="115" spans="1:14">
      <c r="A115" s="35" t="s">
        <v>59</v>
      </c>
      <c r="B115" s="50">
        <v>3205.5182699478005</v>
      </c>
      <c r="C115" s="35" t="s">
        <v>334</v>
      </c>
      <c r="D115" s="36">
        <v>43839</v>
      </c>
      <c r="E115" s="7">
        <v>43879</v>
      </c>
      <c r="F115" s="35">
        <v>114</v>
      </c>
      <c r="J115" s="35"/>
      <c r="K115" s="35"/>
      <c r="L115" s="35"/>
      <c r="M115" s="36"/>
      <c r="N115" s="32"/>
    </row>
    <row r="116" spans="1:14">
      <c r="A116" s="35" t="s">
        <v>59</v>
      </c>
      <c r="B116" s="50">
        <v>46123.489932885903</v>
      </c>
      <c r="C116" s="35" t="s">
        <v>334</v>
      </c>
      <c r="D116" s="36">
        <v>43839</v>
      </c>
      <c r="E116" s="7">
        <v>43879</v>
      </c>
      <c r="F116" s="35">
        <v>115</v>
      </c>
      <c r="J116" s="35"/>
      <c r="K116" s="35"/>
      <c r="L116" s="35"/>
      <c r="M116" s="36"/>
      <c r="N116" s="32"/>
    </row>
    <row r="117" spans="1:14">
      <c r="A117" s="35" t="s">
        <v>25</v>
      </c>
      <c r="B117" s="50">
        <v>2804.847129008203</v>
      </c>
      <c r="C117" s="35" t="s">
        <v>334</v>
      </c>
      <c r="D117" s="36">
        <v>43839</v>
      </c>
      <c r="E117" s="7">
        <v>43879</v>
      </c>
      <c r="F117" s="35">
        <v>116</v>
      </c>
      <c r="J117" s="35"/>
      <c r="K117" s="35"/>
      <c r="L117" s="35"/>
      <c r="M117" s="36"/>
      <c r="N117" s="32"/>
    </row>
    <row r="118" spans="1:14">
      <c r="A118" s="35" t="s">
        <v>59</v>
      </c>
      <c r="B118" s="50">
        <v>32031.25</v>
      </c>
      <c r="C118" s="35" t="s">
        <v>334</v>
      </c>
      <c r="D118" s="36">
        <v>43840</v>
      </c>
      <c r="E118" s="21">
        <v>43870</v>
      </c>
      <c r="F118" s="35">
        <v>117</v>
      </c>
      <c r="J118" s="35"/>
      <c r="K118" s="35"/>
      <c r="L118" s="35"/>
      <c r="M118" s="36"/>
      <c r="N118" s="32"/>
    </row>
    <row r="119" spans="1:14">
      <c r="A119" s="35" t="s">
        <v>70</v>
      </c>
      <c r="B119" s="50">
        <v>3021</v>
      </c>
      <c r="C119" s="35" t="s">
        <v>334</v>
      </c>
      <c r="D119" s="36">
        <v>43840</v>
      </c>
      <c r="E119" s="7">
        <v>43860</v>
      </c>
      <c r="F119" s="35">
        <v>118</v>
      </c>
      <c r="J119" s="35"/>
      <c r="K119" s="35"/>
      <c r="L119" s="35"/>
      <c r="M119" s="36"/>
      <c r="N119" s="32"/>
    </row>
    <row r="120" spans="1:14">
      <c r="A120" s="35" t="s">
        <v>59</v>
      </c>
      <c r="B120" s="50">
        <v>856.76</v>
      </c>
      <c r="C120" s="35" t="s">
        <v>334</v>
      </c>
      <c r="D120" s="36">
        <v>43843</v>
      </c>
      <c r="E120" s="7">
        <v>43857</v>
      </c>
      <c r="F120" s="35">
        <v>119</v>
      </c>
      <c r="J120" s="35"/>
      <c r="K120" s="35"/>
      <c r="L120" s="35"/>
      <c r="M120" s="36"/>
      <c r="N120" s="32"/>
    </row>
    <row r="121" spans="1:14">
      <c r="A121" s="35" t="s">
        <v>59</v>
      </c>
      <c r="B121" s="50">
        <v>9321.4019388516026</v>
      </c>
      <c r="C121" s="35" t="s">
        <v>334</v>
      </c>
      <c r="D121" s="36">
        <v>43843</v>
      </c>
      <c r="E121" s="7">
        <v>43873</v>
      </c>
      <c r="F121" s="35">
        <v>120</v>
      </c>
      <c r="J121" s="35"/>
      <c r="K121" s="35"/>
      <c r="L121" s="35"/>
      <c r="M121" s="36"/>
      <c r="N121" s="32"/>
    </row>
    <row r="122" spans="1:14">
      <c r="A122" s="35" t="s">
        <v>70</v>
      </c>
      <c r="B122" s="50">
        <v>570</v>
      </c>
      <c r="C122" s="35" t="s">
        <v>334</v>
      </c>
      <c r="D122" s="36">
        <v>43843</v>
      </c>
      <c r="E122" s="7">
        <v>43863</v>
      </c>
      <c r="F122" s="35">
        <v>121</v>
      </c>
      <c r="J122" s="35"/>
      <c r="K122" s="35"/>
      <c r="L122" s="35"/>
      <c r="M122" s="36"/>
      <c r="N122" s="32"/>
    </row>
    <row r="123" spans="1:14">
      <c r="A123" s="35" t="s">
        <v>70</v>
      </c>
      <c r="B123" s="50">
        <v>570</v>
      </c>
      <c r="C123" s="35" t="s">
        <v>334</v>
      </c>
      <c r="D123" s="36">
        <v>43843</v>
      </c>
      <c r="E123" s="7">
        <v>43863</v>
      </c>
      <c r="F123" s="35">
        <v>122</v>
      </c>
      <c r="J123" s="35"/>
      <c r="K123" s="35"/>
      <c r="L123" s="35"/>
      <c r="M123" s="36"/>
      <c r="N123" s="32"/>
    </row>
    <row r="124" spans="1:14">
      <c r="A124" s="35" t="s">
        <v>59</v>
      </c>
      <c r="B124" s="50">
        <v>1710</v>
      </c>
      <c r="C124" s="35" t="s">
        <v>334</v>
      </c>
      <c r="D124" s="36">
        <v>43843</v>
      </c>
      <c r="E124" s="7">
        <v>43863</v>
      </c>
      <c r="F124" s="35">
        <v>123</v>
      </c>
      <c r="J124" s="35"/>
      <c r="K124" s="35"/>
      <c r="L124" s="35"/>
      <c r="M124" s="36"/>
      <c r="N124" s="32"/>
    </row>
    <row r="125" spans="1:14">
      <c r="A125" s="35" t="s">
        <v>59</v>
      </c>
      <c r="B125" s="50">
        <v>1923.75</v>
      </c>
      <c r="C125" s="35" t="s">
        <v>334</v>
      </c>
      <c r="D125" s="36">
        <v>43843</v>
      </c>
      <c r="E125" s="7">
        <v>43863</v>
      </c>
      <c r="F125" s="35">
        <v>124</v>
      </c>
      <c r="J125" s="35"/>
      <c r="K125" s="35"/>
      <c r="L125" s="35"/>
      <c r="M125" s="36"/>
      <c r="N125" s="32"/>
    </row>
    <row r="126" spans="1:14">
      <c r="A126" s="35" t="s">
        <v>59</v>
      </c>
      <c r="B126" s="50">
        <v>641.25</v>
      </c>
      <c r="C126" s="35" t="s">
        <v>334</v>
      </c>
      <c r="D126" s="36">
        <v>43843</v>
      </c>
      <c r="E126" s="7">
        <v>43863</v>
      </c>
      <c r="F126" s="35">
        <v>125</v>
      </c>
      <c r="J126" s="35"/>
      <c r="K126" s="35"/>
      <c r="L126" s="35"/>
      <c r="M126" s="36"/>
      <c r="N126" s="32"/>
    </row>
    <row r="127" spans="1:14">
      <c r="A127" s="35" t="s">
        <v>59</v>
      </c>
      <c r="B127" s="50">
        <v>1033.1300000000001</v>
      </c>
      <c r="C127" s="35" t="s">
        <v>334</v>
      </c>
      <c r="D127" s="36">
        <v>43843</v>
      </c>
      <c r="E127" s="7">
        <v>43863</v>
      </c>
      <c r="F127" s="35">
        <v>126</v>
      </c>
      <c r="J127" s="35"/>
      <c r="K127" s="35"/>
      <c r="L127" s="35"/>
      <c r="M127" s="36"/>
      <c r="N127" s="32"/>
    </row>
    <row r="128" spans="1:14">
      <c r="A128" s="35" t="s">
        <v>33</v>
      </c>
      <c r="B128" s="50">
        <v>841.2</v>
      </c>
      <c r="C128" s="35" t="s">
        <v>334</v>
      </c>
      <c r="D128" s="36">
        <v>43843</v>
      </c>
      <c r="E128" s="7">
        <v>43850</v>
      </c>
      <c r="F128" s="35">
        <v>127</v>
      </c>
      <c r="J128" s="35"/>
      <c r="K128" s="35"/>
      <c r="L128" s="35"/>
      <c r="M128" s="36"/>
      <c r="N128" s="32"/>
    </row>
    <row r="129" spans="1:14">
      <c r="A129" s="35" t="s">
        <v>59</v>
      </c>
      <c r="B129" s="50">
        <v>1737.061894108874</v>
      </c>
      <c r="C129" s="35" t="s">
        <v>334</v>
      </c>
      <c r="D129" s="36">
        <v>43844</v>
      </c>
      <c r="E129" s="7">
        <v>43890</v>
      </c>
      <c r="F129" s="35">
        <v>128</v>
      </c>
      <c r="J129" s="35"/>
      <c r="K129" s="35"/>
      <c r="L129" s="35"/>
      <c r="M129" s="36"/>
      <c r="N129" s="32"/>
    </row>
    <row r="130" spans="1:14">
      <c r="A130" s="35" t="s">
        <v>70</v>
      </c>
      <c r="B130" s="50">
        <v>3021</v>
      </c>
      <c r="C130" s="35" t="s">
        <v>334</v>
      </c>
      <c r="D130" s="36">
        <v>43844</v>
      </c>
      <c r="E130" s="7">
        <v>43864</v>
      </c>
      <c r="F130" s="35">
        <v>129</v>
      </c>
      <c r="J130" s="35"/>
      <c r="K130" s="35"/>
      <c r="L130" s="35"/>
      <c r="M130" s="36"/>
      <c r="N130" s="32"/>
    </row>
    <row r="131" spans="1:14">
      <c r="A131" s="35" t="s">
        <v>59</v>
      </c>
      <c r="B131" s="50">
        <v>4488.75</v>
      </c>
      <c r="C131" s="35" t="s">
        <v>334</v>
      </c>
      <c r="D131" s="36">
        <v>43844</v>
      </c>
      <c r="E131" s="7">
        <v>43864</v>
      </c>
      <c r="F131" s="35">
        <v>130</v>
      </c>
      <c r="J131" s="35"/>
      <c r="K131" s="35"/>
      <c r="L131" s="35"/>
      <c r="M131" s="36"/>
      <c r="N131" s="32"/>
    </row>
    <row r="132" spans="1:14">
      <c r="A132" s="35" t="s">
        <v>59</v>
      </c>
      <c r="B132" s="50">
        <v>1282.5</v>
      </c>
      <c r="C132" s="35" t="s">
        <v>334</v>
      </c>
      <c r="D132" s="36">
        <v>43845</v>
      </c>
      <c r="E132" s="7">
        <v>43865</v>
      </c>
      <c r="F132" s="35">
        <v>131</v>
      </c>
      <c r="J132" s="35"/>
      <c r="K132" s="35"/>
      <c r="L132" s="35"/>
      <c r="M132" s="36"/>
      <c r="N132" s="32"/>
    </row>
    <row r="133" spans="1:14">
      <c r="A133" s="35" t="s">
        <v>70</v>
      </c>
      <c r="B133" s="50">
        <v>1923.75</v>
      </c>
      <c r="C133" s="35" t="s">
        <v>334</v>
      </c>
      <c r="D133" s="36">
        <v>43845</v>
      </c>
      <c r="E133" s="7">
        <v>43865</v>
      </c>
      <c r="F133" s="35">
        <v>132</v>
      </c>
      <c r="J133" s="35"/>
      <c r="K133" s="35"/>
      <c r="L133" s="35"/>
      <c r="M133" s="36"/>
      <c r="N133" s="32"/>
    </row>
    <row r="134" spans="1:14">
      <c r="A134" s="35" t="s">
        <v>59</v>
      </c>
      <c r="B134" s="50" t="s">
        <v>109</v>
      </c>
      <c r="C134" s="35" t="s">
        <v>334</v>
      </c>
      <c r="D134" s="36">
        <v>43845</v>
      </c>
      <c r="E134" s="7">
        <v>43875</v>
      </c>
      <c r="F134" s="35">
        <v>133</v>
      </c>
      <c r="J134" s="35"/>
      <c r="K134" s="35"/>
      <c r="L134" s="35"/>
      <c r="M134" s="36"/>
      <c r="N134" s="32"/>
    </row>
    <row r="135" spans="1:14">
      <c r="A135" s="35" t="s">
        <v>59</v>
      </c>
      <c r="B135" s="50">
        <v>1033.1300000000001</v>
      </c>
      <c r="C135" s="35" t="s">
        <v>334</v>
      </c>
      <c r="D135" s="36">
        <v>43845</v>
      </c>
      <c r="E135" s="7">
        <v>43865</v>
      </c>
      <c r="F135" s="35">
        <v>134</v>
      </c>
      <c r="J135" s="35"/>
      <c r="K135" s="35"/>
      <c r="L135" s="35"/>
      <c r="M135" s="36"/>
      <c r="N135" s="32"/>
    </row>
    <row r="136" spans="1:14">
      <c r="A136" s="35" t="s">
        <v>33</v>
      </c>
      <c r="B136" s="50">
        <v>156</v>
      </c>
      <c r="C136" s="35" t="s">
        <v>334</v>
      </c>
      <c r="D136" s="36">
        <v>43845</v>
      </c>
      <c r="E136" s="7">
        <v>43852</v>
      </c>
      <c r="F136" s="35">
        <v>135</v>
      </c>
      <c r="J136" s="35"/>
      <c r="K136" s="35"/>
      <c r="L136" s="35"/>
      <c r="M136" s="36"/>
      <c r="N136" s="32"/>
    </row>
    <row r="137" spans="1:14">
      <c r="A137" s="35" t="s">
        <v>110</v>
      </c>
      <c r="B137" s="50">
        <v>34659.806114839674</v>
      </c>
      <c r="C137" s="35" t="s">
        <v>334</v>
      </c>
      <c r="D137" s="36">
        <v>43845</v>
      </c>
      <c r="E137" s="7">
        <v>43905</v>
      </c>
      <c r="F137" s="35">
        <v>136</v>
      </c>
      <c r="J137" s="35"/>
      <c r="K137" s="35"/>
      <c r="L137" s="35"/>
      <c r="M137" s="36"/>
      <c r="N137" s="32"/>
    </row>
    <row r="138" spans="1:14">
      <c r="A138" s="35" t="s">
        <v>92</v>
      </c>
      <c r="B138" s="50">
        <v>32530</v>
      </c>
      <c r="C138" s="35" t="s">
        <v>334</v>
      </c>
      <c r="D138" s="36">
        <v>43841</v>
      </c>
      <c r="E138" s="7">
        <v>43849</v>
      </c>
      <c r="F138" s="35">
        <v>137</v>
      </c>
      <c r="J138" s="35"/>
      <c r="K138" s="35"/>
      <c r="L138" s="35"/>
      <c r="M138" s="36"/>
      <c r="N138" s="32"/>
    </row>
    <row r="139" spans="1:14">
      <c r="A139" s="35" t="s">
        <v>92</v>
      </c>
      <c r="B139" s="50">
        <v>8831.25</v>
      </c>
      <c r="C139" s="35" t="s">
        <v>334</v>
      </c>
      <c r="D139" s="36">
        <v>37496</v>
      </c>
      <c r="E139" s="7">
        <v>43713</v>
      </c>
      <c r="F139" s="35">
        <v>138</v>
      </c>
      <c r="J139" s="35"/>
      <c r="K139" s="35"/>
      <c r="L139" s="35"/>
      <c r="M139" s="36"/>
      <c r="N139" s="32"/>
    </row>
    <row r="140" spans="1:14">
      <c r="A140" s="35" t="s">
        <v>59</v>
      </c>
      <c r="B140" s="50">
        <v>20507.084265473528</v>
      </c>
      <c r="C140" s="35" t="s">
        <v>334</v>
      </c>
      <c r="D140" s="36">
        <v>43845</v>
      </c>
      <c r="E140" s="7">
        <v>43875</v>
      </c>
      <c r="F140" s="35">
        <v>139</v>
      </c>
      <c r="J140" s="35"/>
      <c r="K140" s="35"/>
      <c r="L140" s="35"/>
      <c r="M140" s="36"/>
      <c r="N140" s="32"/>
    </row>
    <row r="141" spans="1:14">
      <c r="A141" s="35" t="s">
        <v>59</v>
      </c>
      <c r="B141" s="50">
        <v>483221.47651006712</v>
      </c>
      <c r="C141" s="35" t="s">
        <v>334</v>
      </c>
      <c r="D141" s="36">
        <v>43843</v>
      </c>
      <c r="E141" s="7">
        <v>43873</v>
      </c>
      <c r="F141" s="35">
        <v>140</v>
      </c>
      <c r="J141" s="35"/>
      <c r="K141" s="35"/>
      <c r="L141" s="35"/>
      <c r="M141" s="36"/>
      <c r="N141" s="32"/>
    </row>
    <row r="142" spans="1:14">
      <c r="A142" s="35" t="s">
        <v>113</v>
      </c>
      <c r="B142" s="50">
        <v>119700.11</v>
      </c>
      <c r="C142" s="35" t="s">
        <v>334</v>
      </c>
      <c r="D142" s="36">
        <v>43822</v>
      </c>
      <c r="E142" s="7">
        <v>43852</v>
      </c>
      <c r="F142" s="35">
        <v>141</v>
      </c>
      <c r="J142" s="35"/>
      <c r="K142" s="35"/>
      <c r="L142" s="35"/>
      <c r="M142" s="36"/>
      <c r="N142" s="32"/>
    </row>
    <row r="143" spans="1:14">
      <c r="A143" s="35" t="s">
        <v>70</v>
      </c>
      <c r="B143" s="50">
        <v>1187.5</v>
      </c>
      <c r="C143" s="35" t="s">
        <v>334</v>
      </c>
      <c r="D143" s="36">
        <v>43846</v>
      </c>
      <c r="E143" s="7">
        <v>43866</v>
      </c>
      <c r="F143" s="35">
        <v>142</v>
      </c>
      <c r="J143" s="35"/>
      <c r="K143" s="35"/>
      <c r="L143" s="35"/>
      <c r="M143" s="36"/>
      <c r="N143" s="32"/>
    </row>
    <row r="144" spans="1:14">
      <c r="A144" s="35" t="s">
        <v>59</v>
      </c>
      <c r="B144" s="50">
        <v>790</v>
      </c>
      <c r="C144" s="35" t="s">
        <v>334</v>
      </c>
      <c r="D144" s="36">
        <v>43850</v>
      </c>
      <c r="E144" s="20">
        <v>43858</v>
      </c>
      <c r="F144" s="35">
        <v>143</v>
      </c>
      <c r="J144" s="35"/>
      <c r="K144" s="35"/>
      <c r="L144" s="35"/>
      <c r="M144" s="36"/>
      <c r="N144" s="32"/>
    </row>
    <row r="145" spans="1:14">
      <c r="A145" s="35" t="s">
        <v>114</v>
      </c>
      <c r="B145" s="50">
        <v>177.78</v>
      </c>
      <c r="C145" s="35" t="s">
        <v>334</v>
      </c>
      <c r="D145" s="36">
        <v>43846</v>
      </c>
      <c r="E145" s="7">
        <v>43905</v>
      </c>
      <c r="F145" s="35">
        <v>144</v>
      </c>
      <c r="J145" s="35"/>
      <c r="K145" s="35"/>
      <c r="L145" s="35"/>
      <c r="M145" s="36"/>
      <c r="N145" s="32"/>
    </row>
    <row r="146" spans="1:14">
      <c r="A146" s="35" t="s">
        <v>59</v>
      </c>
      <c r="B146" s="50">
        <v>1813.74</v>
      </c>
      <c r="C146" s="35" t="s">
        <v>334</v>
      </c>
      <c r="D146" s="36">
        <v>43850</v>
      </c>
      <c r="E146" s="7">
        <v>43832</v>
      </c>
      <c r="F146" s="35">
        <v>145</v>
      </c>
      <c r="J146" s="35"/>
      <c r="K146" s="35"/>
      <c r="L146" s="35"/>
      <c r="M146" s="36"/>
      <c r="N146" s="32"/>
    </row>
    <row r="147" spans="1:14">
      <c r="A147" s="35" t="s">
        <v>94</v>
      </c>
      <c r="B147" s="50">
        <v>39755.406413124532</v>
      </c>
      <c r="C147" s="35" t="s">
        <v>334</v>
      </c>
      <c r="D147" s="36">
        <v>43846</v>
      </c>
      <c r="E147" s="21">
        <v>43881</v>
      </c>
      <c r="F147" s="35">
        <v>146</v>
      </c>
      <c r="J147" s="35"/>
      <c r="K147" s="35"/>
      <c r="L147" s="35"/>
      <c r="M147" s="36"/>
      <c r="N147" s="32"/>
    </row>
    <row r="148" spans="1:14">
      <c r="A148" s="35" t="s">
        <v>59</v>
      </c>
      <c r="B148" s="50">
        <v>1780</v>
      </c>
      <c r="C148" s="35" t="s">
        <v>334</v>
      </c>
      <c r="D148" s="36">
        <v>43850</v>
      </c>
      <c r="E148" s="7">
        <v>43880</v>
      </c>
      <c r="F148" s="35">
        <v>147</v>
      </c>
      <c r="J148" s="35"/>
      <c r="K148" s="35"/>
      <c r="L148" s="35"/>
      <c r="M148" s="36"/>
      <c r="N148" s="32"/>
    </row>
    <row r="149" spans="1:14">
      <c r="A149" s="35" t="s">
        <v>38</v>
      </c>
      <c r="B149" s="50">
        <v>856.76</v>
      </c>
      <c r="C149" s="35" t="s">
        <v>334</v>
      </c>
      <c r="D149" s="36">
        <v>43850</v>
      </c>
      <c r="E149" s="7">
        <v>43864</v>
      </c>
      <c r="F149" s="35">
        <v>148</v>
      </c>
      <c r="J149" s="35"/>
      <c r="K149" s="35"/>
      <c r="L149" s="35"/>
      <c r="M149" s="36"/>
      <c r="N149" s="32"/>
    </row>
    <row r="150" spans="1:14">
      <c r="A150" s="35" t="s">
        <v>22</v>
      </c>
      <c r="B150" s="50">
        <v>14775.838926174498</v>
      </c>
      <c r="C150" s="35" t="s">
        <v>334</v>
      </c>
      <c r="D150" s="36">
        <v>43847</v>
      </c>
      <c r="E150" s="7">
        <v>43877</v>
      </c>
      <c r="F150" s="35">
        <v>149</v>
      </c>
      <c r="J150" s="35"/>
      <c r="K150" s="35"/>
      <c r="L150" s="35"/>
      <c r="M150" s="36"/>
      <c r="N150" s="32"/>
    </row>
    <row r="151" spans="1:14">
      <c r="A151" s="35" t="s">
        <v>22</v>
      </c>
      <c r="B151" s="50">
        <v>22163.758389261744</v>
      </c>
      <c r="C151" s="35" t="s">
        <v>334</v>
      </c>
      <c r="D151" s="36">
        <v>43847</v>
      </c>
      <c r="E151" s="7">
        <v>43877</v>
      </c>
      <c r="F151" s="35">
        <v>150</v>
      </c>
      <c r="J151" s="35"/>
      <c r="K151" s="35"/>
      <c r="L151" s="35"/>
      <c r="M151" s="36"/>
      <c r="N151" s="32"/>
    </row>
    <row r="152" spans="1:14">
      <c r="A152" s="35" t="s">
        <v>22</v>
      </c>
      <c r="B152" s="50">
        <v>149004.02684563756</v>
      </c>
      <c r="C152" s="35" t="s">
        <v>334</v>
      </c>
      <c r="D152" s="36">
        <v>43850</v>
      </c>
      <c r="E152" s="7">
        <v>43880</v>
      </c>
      <c r="F152" s="35">
        <v>151</v>
      </c>
      <c r="J152" s="35"/>
      <c r="K152" s="35"/>
      <c r="L152" s="35"/>
      <c r="M152" s="36"/>
      <c r="N152" s="32"/>
    </row>
    <row r="153" spans="1:14">
      <c r="A153" s="35" t="s">
        <v>22</v>
      </c>
      <c r="B153" s="50">
        <v>22163.758389261744</v>
      </c>
      <c r="C153" s="35" t="s">
        <v>334</v>
      </c>
      <c r="D153" s="36">
        <v>43850</v>
      </c>
      <c r="E153" s="7">
        <v>43880</v>
      </c>
      <c r="F153" s="35">
        <v>152</v>
      </c>
      <c r="J153" s="35"/>
      <c r="K153" s="35"/>
      <c r="L153" s="35"/>
      <c r="M153" s="36"/>
      <c r="N153" s="32"/>
    </row>
    <row r="154" spans="1:14">
      <c r="A154" s="35" t="s">
        <v>18</v>
      </c>
      <c r="B154" s="50">
        <v>35436.241610738252</v>
      </c>
      <c r="C154" s="35" t="s">
        <v>334</v>
      </c>
      <c r="D154" s="36">
        <v>43847</v>
      </c>
      <c r="E154" s="21">
        <v>43847</v>
      </c>
      <c r="F154" s="35">
        <v>153</v>
      </c>
      <c r="J154" s="35"/>
      <c r="K154" s="35"/>
      <c r="L154" s="35"/>
      <c r="M154" s="36"/>
      <c r="N154" s="32"/>
    </row>
    <row r="155" spans="1:14">
      <c r="A155" s="35" t="s">
        <v>18</v>
      </c>
      <c r="B155" s="50">
        <v>28348.993288590606</v>
      </c>
      <c r="C155" s="35" t="s">
        <v>334</v>
      </c>
      <c r="D155" s="36">
        <v>43850</v>
      </c>
      <c r="E155" s="21">
        <v>43850</v>
      </c>
      <c r="F155" s="35">
        <v>154</v>
      </c>
      <c r="J155" s="35"/>
      <c r="K155" s="35"/>
      <c r="L155" s="35"/>
      <c r="M155" s="36"/>
      <c r="N155" s="32"/>
    </row>
    <row r="156" spans="1:14">
      <c r="A156" s="35" t="s">
        <v>18</v>
      </c>
      <c r="B156" s="50">
        <v>28348.993288590606</v>
      </c>
      <c r="C156" s="35" t="s">
        <v>334</v>
      </c>
      <c r="D156" s="36">
        <v>43850</v>
      </c>
      <c r="E156" s="21">
        <v>43850</v>
      </c>
      <c r="F156" s="35">
        <v>155</v>
      </c>
      <c r="J156" s="35"/>
      <c r="K156" s="35"/>
      <c r="L156" s="35"/>
      <c r="M156" s="36"/>
      <c r="N156" s="32"/>
    </row>
    <row r="157" spans="1:14">
      <c r="A157" s="35" t="s">
        <v>18</v>
      </c>
      <c r="B157" s="50">
        <v>141904.54884414616</v>
      </c>
      <c r="C157" s="35" t="s">
        <v>334</v>
      </c>
      <c r="D157" s="36">
        <v>43850</v>
      </c>
      <c r="E157" s="21">
        <v>43850</v>
      </c>
      <c r="F157" s="35">
        <v>156</v>
      </c>
      <c r="J157" s="35"/>
      <c r="K157" s="35"/>
      <c r="L157" s="35"/>
      <c r="M157" s="36"/>
      <c r="N157" s="32"/>
    </row>
    <row r="158" spans="1:14">
      <c r="A158" s="35" t="s">
        <v>124</v>
      </c>
      <c r="B158" s="50">
        <v>2484.38</v>
      </c>
      <c r="C158" s="35" t="s">
        <v>334</v>
      </c>
      <c r="D158" s="36">
        <v>43830</v>
      </c>
      <c r="E158" s="7">
        <v>43845</v>
      </c>
      <c r="F158" s="35">
        <v>157</v>
      </c>
      <c r="J158" s="35"/>
      <c r="K158" s="35"/>
      <c r="L158" s="35"/>
      <c r="M158" s="36"/>
      <c r="N158" s="32"/>
    </row>
    <row r="159" spans="1:14">
      <c r="A159" s="35" t="s">
        <v>54</v>
      </c>
      <c r="B159" s="50">
        <v>20507.084265473528</v>
      </c>
      <c r="C159" s="35" t="s">
        <v>334</v>
      </c>
      <c r="D159" s="36">
        <v>43850</v>
      </c>
      <c r="E159" s="7">
        <v>43880</v>
      </c>
      <c r="F159" s="35">
        <v>158</v>
      </c>
      <c r="J159" s="35"/>
      <c r="K159" s="35"/>
      <c r="L159" s="35"/>
      <c r="M159" s="36"/>
      <c r="N159" s="32"/>
    </row>
    <row r="160" spans="1:14">
      <c r="A160" s="35" t="s">
        <v>70</v>
      </c>
      <c r="B160" s="50">
        <v>2992.5</v>
      </c>
      <c r="C160" s="35" t="s">
        <v>334</v>
      </c>
      <c r="D160" s="36">
        <v>43850</v>
      </c>
      <c r="E160" s="7">
        <v>43870</v>
      </c>
      <c r="F160" s="35">
        <v>159</v>
      </c>
      <c r="J160" s="35"/>
      <c r="K160" s="35"/>
      <c r="L160" s="35"/>
      <c r="M160" s="36"/>
      <c r="N160" s="32"/>
    </row>
    <row r="161" spans="1:14">
      <c r="A161" s="35" t="s">
        <v>12</v>
      </c>
      <c r="B161" s="50">
        <v>1312.5</v>
      </c>
      <c r="C161" s="35" t="s">
        <v>334</v>
      </c>
      <c r="D161" s="36">
        <v>43847</v>
      </c>
      <c r="E161" s="7">
        <v>43891</v>
      </c>
      <c r="F161" s="35">
        <v>160</v>
      </c>
      <c r="J161" s="35"/>
      <c r="K161" s="35"/>
      <c r="L161" s="35"/>
      <c r="M161" s="36"/>
      <c r="N161" s="32"/>
    </row>
    <row r="162" spans="1:14">
      <c r="A162" s="35" t="s">
        <v>70</v>
      </c>
      <c r="B162" s="50">
        <v>1923.75</v>
      </c>
      <c r="C162" s="35" t="s">
        <v>334</v>
      </c>
      <c r="D162" s="36">
        <v>43847</v>
      </c>
      <c r="E162" s="7">
        <v>43867</v>
      </c>
      <c r="F162" s="35">
        <v>161</v>
      </c>
      <c r="J162" s="35"/>
      <c r="K162" s="35"/>
      <c r="L162" s="35"/>
      <c r="M162" s="36"/>
      <c r="N162" s="32"/>
    </row>
    <row r="163" spans="1:14">
      <c r="A163" s="35" t="s">
        <v>70</v>
      </c>
      <c r="B163" s="50">
        <v>1923.75</v>
      </c>
      <c r="C163" s="35" t="s">
        <v>334</v>
      </c>
      <c r="D163" s="36">
        <v>43847</v>
      </c>
      <c r="E163" s="7">
        <v>43867</v>
      </c>
      <c r="F163" s="35">
        <v>162</v>
      </c>
      <c r="J163" s="35"/>
      <c r="K163" s="35"/>
      <c r="L163" s="35"/>
      <c r="M163" s="36"/>
      <c r="N163" s="32"/>
    </row>
    <row r="164" spans="1:14">
      <c r="A164" s="35" t="s">
        <v>70</v>
      </c>
      <c r="B164" s="50">
        <v>1995</v>
      </c>
      <c r="C164" s="35" t="s">
        <v>334</v>
      </c>
      <c r="D164" s="36">
        <v>43847</v>
      </c>
      <c r="E164" s="7">
        <v>43867</v>
      </c>
      <c r="F164" s="35">
        <v>163</v>
      </c>
      <c r="J164" s="35"/>
      <c r="K164" s="35"/>
      <c r="L164" s="35"/>
      <c r="M164" s="36"/>
      <c r="N164" s="32"/>
    </row>
    <row r="165" spans="1:14">
      <c r="A165" s="35" t="s">
        <v>70</v>
      </c>
      <c r="B165" s="50">
        <v>1033.1300000000001</v>
      </c>
      <c r="C165" s="35" t="s">
        <v>334</v>
      </c>
      <c r="D165" s="36">
        <v>43847</v>
      </c>
      <c r="E165" s="7">
        <v>43867</v>
      </c>
      <c r="F165" s="35">
        <v>164</v>
      </c>
      <c r="J165" s="35"/>
      <c r="K165" s="35"/>
      <c r="L165" s="35"/>
      <c r="M165" s="36"/>
      <c r="N165" s="32"/>
    </row>
    <row r="166" spans="1:14">
      <c r="A166" s="35" t="s">
        <v>70</v>
      </c>
      <c r="B166" s="50">
        <v>2940</v>
      </c>
      <c r="C166" s="35" t="s">
        <v>334</v>
      </c>
      <c r="D166" s="36">
        <v>43847</v>
      </c>
      <c r="E166" s="7">
        <v>43867</v>
      </c>
      <c r="F166" s="35">
        <v>165</v>
      </c>
      <c r="J166" s="35"/>
      <c r="K166" s="35"/>
      <c r="L166" s="35"/>
      <c r="M166" s="36"/>
      <c r="N166" s="32"/>
    </row>
    <row r="167" spans="1:14">
      <c r="A167" s="35" t="s">
        <v>25</v>
      </c>
      <c r="B167" s="50">
        <v>15638.404175988069</v>
      </c>
      <c r="C167" s="35" t="s">
        <v>334</v>
      </c>
      <c r="D167" s="36">
        <v>43844</v>
      </c>
      <c r="E167" s="7">
        <v>43884</v>
      </c>
      <c r="F167" s="35">
        <v>166</v>
      </c>
      <c r="J167" s="35"/>
      <c r="K167" s="35"/>
      <c r="L167" s="35"/>
      <c r="M167" s="36"/>
      <c r="N167" s="32"/>
    </row>
    <row r="168" spans="1:14">
      <c r="A168" s="35" t="s">
        <v>25</v>
      </c>
      <c r="B168" s="50">
        <v>24852.274422073082</v>
      </c>
      <c r="C168" s="35" t="s">
        <v>334</v>
      </c>
      <c r="D168" s="36">
        <v>43844</v>
      </c>
      <c r="E168" s="7">
        <v>43884</v>
      </c>
      <c r="F168" s="35">
        <v>167</v>
      </c>
      <c r="J168" s="35"/>
      <c r="K168" s="35"/>
      <c r="L168" s="35"/>
      <c r="M168" s="36"/>
      <c r="N168" s="32"/>
    </row>
    <row r="169" spans="1:14">
      <c r="A169" s="35" t="s">
        <v>25</v>
      </c>
      <c r="B169" s="50">
        <v>19645.264727815062</v>
      </c>
      <c r="C169" s="35" t="s">
        <v>334</v>
      </c>
      <c r="D169" s="36">
        <v>43846</v>
      </c>
      <c r="E169" s="7">
        <v>43886</v>
      </c>
      <c r="F169" s="35">
        <v>168</v>
      </c>
      <c r="J169" s="35"/>
      <c r="K169" s="35"/>
      <c r="L169" s="35"/>
      <c r="M169" s="36"/>
      <c r="N169" s="32"/>
    </row>
    <row r="170" spans="1:14">
      <c r="A170" s="35" t="s">
        <v>25</v>
      </c>
      <c r="B170" s="50">
        <v>26062.043251304996</v>
      </c>
      <c r="C170" s="35" t="s">
        <v>334</v>
      </c>
      <c r="D170" s="36">
        <v>43846</v>
      </c>
      <c r="E170" s="7">
        <v>43886</v>
      </c>
      <c r="F170" s="35">
        <v>169</v>
      </c>
      <c r="J170" s="35"/>
      <c r="K170" s="35"/>
      <c r="L170" s="35"/>
      <c r="M170" s="36"/>
      <c r="N170" s="32"/>
    </row>
    <row r="171" spans="1:14">
      <c r="A171" s="35" t="s">
        <v>12</v>
      </c>
      <c r="B171" s="50">
        <v>17837.150000000001</v>
      </c>
      <c r="C171" s="35" t="s">
        <v>334</v>
      </c>
      <c r="D171" s="36">
        <v>43840</v>
      </c>
      <c r="E171" s="7">
        <v>43891</v>
      </c>
      <c r="F171" s="35">
        <v>170</v>
      </c>
      <c r="J171" s="35"/>
      <c r="K171" s="35"/>
      <c r="L171" s="35"/>
      <c r="M171" s="36"/>
      <c r="N171" s="32"/>
    </row>
    <row r="172" spans="1:14">
      <c r="A172" s="35" t="s">
        <v>33</v>
      </c>
      <c r="B172" s="50">
        <v>155.35</v>
      </c>
      <c r="C172" s="35" t="s">
        <v>334</v>
      </c>
      <c r="D172" s="36">
        <v>43852</v>
      </c>
      <c r="E172" s="7">
        <v>43859</v>
      </c>
      <c r="F172" s="35">
        <v>171</v>
      </c>
      <c r="J172" s="35"/>
      <c r="K172" s="35"/>
      <c r="L172" s="35"/>
      <c r="M172" s="36"/>
      <c r="N172" s="32"/>
    </row>
    <row r="173" spans="1:14">
      <c r="A173" s="35" t="s">
        <v>94</v>
      </c>
      <c r="B173" s="50">
        <v>41814.765100671138</v>
      </c>
      <c r="C173" s="35" t="s">
        <v>334</v>
      </c>
      <c r="D173" s="36">
        <v>43850</v>
      </c>
      <c r="E173" s="7">
        <v>43881</v>
      </c>
      <c r="F173" s="35">
        <v>172</v>
      </c>
      <c r="J173" s="35"/>
      <c r="K173" s="35"/>
      <c r="L173" s="35"/>
      <c r="M173" s="36"/>
      <c r="N173" s="32"/>
    </row>
    <row r="174" spans="1:14">
      <c r="A174" s="35" t="s">
        <v>114</v>
      </c>
      <c r="B174" s="50">
        <v>92.94</v>
      </c>
      <c r="C174" s="35" t="s">
        <v>334</v>
      </c>
      <c r="D174" s="36">
        <v>43853</v>
      </c>
      <c r="E174" s="7">
        <v>43905</v>
      </c>
      <c r="F174" s="35">
        <v>173</v>
      </c>
      <c r="J174" s="35"/>
      <c r="K174" s="35"/>
      <c r="L174" s="35"/>
      <c r="M174" s="36"/>
      <c r="N174" s="32"/>
    </row>
    <row r="175" spans="1:14">
      <c r="A175" s="35" t="s">
        <v>34</v>
      </c>
      <c r="B175" s="50">
        <v>112.5</v>
      </c>
      <c r="C175" s="35" t="s">
        <v>334</v>
      </c>
      <c r="D175" s="36">
        <v>43852</v>
      </c>
      <c r="E175" s="7">
        <v>43882</v>
      </c>
      <c r="F175" s="35">
        <v>174</v>
      </c>
      <c r="J175" s="35"/>
      <c r="K175" s="35"/>
      <c r="L175" s="35"/>
      <c r="M175" s="36"/>
      <c r="N175" s="32"/>
    </row>
    <row r="176" spans="1:14">
      <c r="A176" s="35" t="s">
        <v>54</v>
      </c>
      <c r="B176" s="50">
        <v>9321.4019388516026</v>
      </c>
      <c r="C176" s="35" t="s">
        <v>334</v>
      </c>
      <c r="D176" s="36">
        <v>43852</v>
      </c>
      <c r="E176" s="7">
        <v>43882</v>
      </c>
      <c r="F176" s="35">
        <v>175</v>
      </c>
      <c r="J176" s="35"/>
      <c r="K176" s="35"/>
      <c r="L176" s="35"/>
      <c r="M176" s="36"/>
      <c r="N176" s="32"/>
    </row>
    <row r="177" spans="1:14">
      <c r="A177" s="35" t="s">
        <v>70</v>
      </c>
      <c r="B177" s="50">
        <v>4275</v>
      </c>
      <c r="C177" s="35" t="s">
        <v>334</v>
      </c>
      <c r="D177" s="36">
        <v>43851</v>
      </c>
      <c r="E177" s="7">
        <v>43871</v>
      </c>
      <c r="F177" s="35">
        <v>176</v>
      </c>
      <c r="J177" s="35"/>
      <c r="K177" s="35"/>
      <c r="L177" s="35"/>
      <c r="M177" s="36"/>
      <c r="N177" s="32"/>
    </row>
    <row r="178" spans="1:14">
      <c r="A178" s="35" t="s">
        <v>70</v>
      </c>
      <c r="B178" s="50">
        <v>3099.38</v>
      </c>
      <c r="C178" s="35" t="s">
        <v>334</v>
      </c>
      <c r="D178" s="36">
        <v>43851</v>
      </c>
      <c r="E178" s="7">
        <v>43871</v>
      </c>
      <c r="F178" s="35">
        <v>177</v>
      </c>
      <c r="J178" s="35"/>
      <c r="K178" s="35"/>
      <c r="L178" s="35"/>
      <c r="M178" s="36"/>
      <c r="N178" s="32"/>
    </row>
    <row r="179" spans="1:14">
      <c r="A179" s="35" t="s">
        <v>70</v>
      </c>
      <c r="B179" s="50">
        <v>2066.25</v>
      </c>
      <c r="C179" s="35" t="s">
        <v>334</v>
      </c>
      <c r="D179" s="36">
        <v>43852</v>
      </c>
      <c r="E179" s="7">
        <v>43872</v>
      </c>
      <c r="F179" s="35">
        <v>178</v>
      </c>
      <c r="J179" s="35"/>
      <c r="K179" s="35"/>
      <c r="L179" s="35"/>
      <c r="M179" s="36"/>
      <c r="N179" s="32"/>
    </row>
    <row r="180" spans="1:14">
      <c r="A180" s="35" t="s">
        <v>70</v>
      </c>
      <c r="B180" s="50">
        <v>10549.28</v>
      </c>
      <c r="C180" s="35" t="s">
        <v>334</v>
      </c>
      <c r="D180" s="36">
        <v>43852</v>
      </c>
      <c r="E180" s="7">
        <v>43872</v>
      </c>
      <c r="F180" s="35">
        <v>179</v>
      </c>
      <c r="J180" s="35"/>
      <c r="K180" s="35"/>
      <c r="L180" s="35"/>
      <c r="M180" s="36"/>
      <c r="N180" s="32"/>
    </row>
    <row r="181" spans="1:14">
      <c r="A181" s="35" t="s">
        <v>70</v>
      </c>
      <c r="B181" s="50">
        <v>1033.1300000000001</v>
      </c>
      <c r="C181" s="35" t="s">
        <v>334</v>
      </c>
      <c r="D181" s="36">
        <v>43852</v>
      </c>
      <c r="E181" s="7">
        <v>43872</v>
      </c>
      <c r="F181" s="35">
        <v>180</v>
      </c>
      <c r="J181" s="35"/>
      <c r="K181" s="35"/>
      <c r="L181" s="35"/>
      <c r="M181" s="36"/>
      <c r="N181" s="32"/>
    </row>
    <row r="182" spans="1:14">
      <c r="A182" s="35" t="s">
        <v>70</v>
      </c>
      <c r="B182" s="50">
        <v>1282.5</v>
      </c>
      <c r="C182" s="35" t="s">
        <v>334</v>
      </c>
      <c r="D182" s="36">
        <v>43852</v>
      </c>
      <c r="E182" s="7">
        <v>43872</v>
      </c>
      <c r="F182" s="35">
        <v>181</v>
      </c>
      <c r="J182" s="35"/>
      <c r="K182" s="35"/>
      <c r="L182" s="35"/>
      <c r="M182" s="36"/>
      <c r="N182" s="32"/>
    </row>
    <row r="183" spans="1:14">
      <c r="A183" s="35" t="s">
        <v>70</v>
      </c>
      <c r="B183" s="50">
        <v>1923.75</v>
      </c>
      <c r="C183" s="35" t="s">
        <v>334</v>
      </c>
      <c r="D183" s="36">
        <v>43852</v>
      </c>
      <c r="E183" s="7">
        <v>43872</v>
      </c>
      <c r="F183" s="35">
        <v>182</v>
      </c>
      <c r="J183" s="35"/>
      <c r="K183" s="35"/>
      <c r="L183" s="35"/>
      <c r="M183" s="36"/>
      <c r="N183" s="32"/>
    </row>
    <row r="184" spans="1:14">
      <c r="A184" s="35" t="s">
        <v>70</v>
      </c>
      <c r="B184" s="50">
        <v>3021</v>
      </c>
      <c r="C184" s="35" t="s">
        <v>334</v>
      </c>
      <c r="D184" s="36">
        <v>43852</v>
      </c>
      <c r="E184" s="7">
        <v>43872</v>
      </c>
      <c r="F184" s="35">
        <v>183</v>
      </c>
      <c r="J184" s="35"/>
      <c r="K184" s="35"/>
      <c r="L184" s="35"/>
      <c r="M184" s="36"/>
      <c r="N184" s="32"/>
    </row>
    <row r="185" spans="1:14">
      <c r="A185" s="35" t="s">
        <v>70</v>
      </c>
      <c r="B185" s="50">
        <v>3099.38</v>
      </c>
      <c r="C185" s="35" t="s">
        <v>334</v>
      </c>
      <c r="D185" s="36">
        <v>43852</v>
      </c>
      <c r="E185" s="7">
        <v>43872</v>
      </c>
      <c r="F185" s="35">
        <v>184</v>
      </c>
      <c r="J185" s="35"/>
      <c r="K185" s="35"/>
      <c r="L185" s="35"/>
      <c r="M185" s="36"/>
      <c r="N185" s="32"/>
    </row>
    <row r="186" spans="1:14">
      <c r="A186" s="35" t="s">
        <v>70</v>
      </c>
      <c r="B186" s="50">
        <v>3420</v>
      </c>
      <c r="C186" s="35" t="s">
        <v>334</v>
      </c>
      <c r="D186" s="36">
        <v>43852</v>
      </c>
      <c r="E186" s="7">
        <v>43872</v>
      </c>
      <c r="F186" s="35">
        <v>185</v>
      </c>
      <c r="J186" s="35"/>
      <c r="K186" s="35"/>
      <c r="L186" s="35"/>
      <c r="M186" s="36"/>
      <c r="N186" s="32"/>
    </row>
    <row r="187" spans="1:14">
      <c r="A187" s="35" t="s">
        <v>70</v>
      </c>
      <c r="B187" s="50">
        <v>1995</v>
      </c>
      <c r="C187" s="35" t="s">
        <v>334</v>
      </c>
      <c r="D187" s="36">
        <v>43852</v>
      </c>
      <c r="E187" s="7">
        <v>43872</v>
      </c>
      <c r="F187" s="35">
        <v>186</v>
      </c>
      <c r="J187" s="35"/>
      <c r="K187" s="35"/>
      <c r="L187" s="35"/>
      <c r="M187" s="36"/>
      <c r="N187" s="32"/>
    </row>
    <row r="188" spans="1:14">
      <c r="A188" s="35" t="s">
        <v>59</v>
      </c>
      <c r="B188" s="50">
        <v>279300</v>
      </c>
      <c r="C188" s="35" t="s">
        <v>334</v>
      </c>
      <c r="D188" s="36">
        <v>43840</v>
      </c>
      <c r="E188" s="7">
        <v>43870</v>
      </c>
      <c r="F188" s="35">
        <v>187</v>
      </c>
      <c r="J188" s="35"/>
      <c r="K188" s="35"/>
      <c r="L188" s="35"/>
      <c r="M188" s="36"/>
      <c r="N188" s="32"/>
    </row>
    <row r="189" spans="1:14">
      <c r="A189" s="35" t="s">
        <v>70</v>
      </c>
      <c r="B189" s="50">
        <v>1563.23</v>
      </c>
      <c r="C189" s="35" t="s">
        <v>334</v>
      </c>
      <c r="D189" s="36">
        <v>43854</v>
      </c>
      <c r="E189" s="7">
        <v>43874</v>
      </c>
      <c r="F189" s="35">
        <v>188</v>
      </c>
      <c r="J189" s="35"/>
      <c r="K189" s="35"/>
      <c r="L189" s="35"/>
      <c r="M189" s="36"/>
      <c r="N189" s="32"/>
    </row>
    <row r="190" spans="1:14">
      <c r="A190" s="35" t="s">
        <v>70</v>
      </c>
      <c r="B190" s="50">
        <v>4488.75</v>
      </c>
      <c r="C190" s="35" t="s">
        <v>334</v>
      </c>
      <c r="D190" s="36">
        <v>43854</v>
      </c>
      <c r="E190" s="7">
        <v>43874</v>
      </c>
      <c r="F190" s="35">
        <v>189</v>
      </c>
      <c r="J190" s="35"/>
      <c r="K190" s="35"/>
      <c r="L190" s="35"/>
      <c r="M190" s="36"/>
      <c r="N190" s="32"/>
    </row>
    <row r="191" spans="1:14">
      <c r="A191" s="35" t="s">
        <v>70</v>
      </c>
      <c r="B191" s="50">
        <v>2565</v>
      </c>
      <c r="C191" s="35" t="s">
        <v>334</v>
      </c>
      <c r="D191" s="36">
        <v>43854</v>
      </c>
      <c r="E191" s="7">
        <v>43874</v>
      </c>
      <c r="F191" s="35">
        <v>190</v>
      </c>
      <c r="J191" s="35"/>
      <c r="K191" s="35"/>
      <c r="L191" s="35"/>
      <c r="M191" s="36"/>
      <c r="N191" s="32"/>
    </row>
    <row r="192" spans="1:14">
      <c r="A192" s="35" t="s">
        <v>70</v>
      </c>
      <c r="B192" s="50">
        <v>1282.5</v>
      </c>
      <c r="C192" s="35" t="s">
        <v>334</v>
      </c>
      <c r="D192" s="36">
        <v>43854</v>
      </c>
      <c r="E192" s="7">
        <v>43874</v>
      </c>
      <c r="F192" s="35">
        <v>191</v>
      </c>
      <c r="J192" s="35"/>
      <c r="K192" s="35"/>
      <c r="L192" s="35"/>
      <c r="M192" s="36"/>
      <c r="N192" s="32"/>
    </row>
    <row r="193" spans="1:14">
      <c r="A193" s="35" t="s">
        <v>70</v>
      </c>
      <c r="B193" s="50">
        <v>1033.1300000000001</v>
      </c>
      <c r="C193" s="35" t="s">
        <v>334</v>
      </c>
      <c r="D193" s="36">
        <v>43854</v>
      </c>
      <c r="E193" s="7">
        <v>43874</v>
      </c>
      <c r="F193" s="35">
        <v>192</v>
      </c>
      <c r="J193" s="35"/>
      <c r="K193" s="35"/>
      <c r="L193" s="35"/>
      <c r="M193" s="36"/>
      <c r="N193" s="32"/>
    </row>
    <row r="194" spans="1:14">
      <c r="A194" s="35" t="s">
        <v>33</v>
      </c>
      <c r="B194" s="50">
        <v>379.41</v>
      </c>
      <c r="C194" s="35" t="s">
        <v>334</v>
      </c>
      <c r="D194" s="36">
        <v>43853</v>
      </c>
      <c r="E194" s="7">
        <v>43860</v>
      </c>
      <c r="F194" s="35">
        <v>193</v>
      </c>
      <c r="J194" s="35"/>
      <c r="K194" s="35"/>
      <c r="L194" s="35"/>
      <c r="M194" s="36"/>
      <c r="N194" s="32"/>
    </row>
    <row r="195" spans="1:14">
      <c r="A195" s="35" t="s">
        <v>70</v>
      </c>
      <c r="B195" s="50">
        <v>-71.25</v>
      </c>
      <c r="C195" s="35" t="s">
        <v>333</v>
      </c>
      <c r="D195" s="36">
        <v>43854</v>
      </c>
      <c r="E195" s="13">
        <v>43874</v>
      </c>
      <c r="F195" s="35">
        <v>194</v>
      </c>
      <c r="J195" s="35"/>
      <c r="K195" s="35"/>
      <c r="L195" s="35"/>
      <c r="M195" s="36"/>
      <c r="N195" s="32"/>
    </row>
    <row r="196" spans="1:14">
      <c r="A196" s="35" t="s">
        <v>33</v>
      </c>
      <c r="B196" s="50">
        <v>155.35</v>
      </c>
      <c r="C196" s="35" t="s">
        <v>334</v>
      </c>
      <c r="D196" s="36">
        <v>43854</v>
      </c>
      <c r="E196" s="7">
        <v>43861</v>
      </c>
      <c r="F196" s="35">
        <v>195</v>
      </c>
      <c r="J196" s="35"/>
      <c r="K196" s="35"/>
      <c r="L196" s="35"/>
      <c r="M196" s="36"/>
      <c r="N196" s="32"/>
    </row>
    <row r="197" spans="1:14">
      <c r="A197" s="35" t="s">
        <v>70</v>
      </c>
      <c r="B197" s="50">
        <v>1282.5</v>
      </c>
      <c r="C197" s="35" t="s">
        <v>334</v>
      </c>
      <c r="D197" s="36">
        <v>43857</v>
      </c>
      <c r="E197" s="7">
        <v>43877</v>
      </c>
      <c r="F197" s="35">
        <v>196</v>
      </c>
      <c r="J197" s="35"/>
      <c r="K197" s="35"/>
      <c r="L197" s="35"/>
      <c r="M197" s="36"/>
      <c r="N197" s="32"/>
    </row>
    <row r="198" spans="1:14">
      <c r="A198" s="35" t="s">
        <v>59</v>
      </c>
      <c r="B198" s="50">
        <v>13750</v>
      </c>
      <c r="C198" s="35" t="s">
        <v>334</v>
      </c>
      <c r="D198" s="36">
        <v>44192</v>
      </c>
      <c r="E198" s="7">
        <v>43845</v>
      </c>
      <c r="F198" s="35">
        <v>197</v>
      </c>
      <c r="J198" s="35"/>
      <c r="K198" s="35"/>
      <c r="L198" s="35"/>
      <c r="M198" s="36"/>
      <c r="N198" s="32"/>
    </row>
    <row r="199" spans="1:14">
      <c r="A199" s="35" t="s">
        <v>59</v>
      </c>
      <c r="B199" s="50">
        <v>2343.64</v>
      </c>
      <c r="C199" s="35" t="s">
        <v>334</v>
      </c>
      <c r="D199" s="36">
        <v>43834</v>
      </c>
      <c r="E199" s="7">
        <v>43864</v>
      </c>
      <c r="F199" s="35">
        <v>198</v>
      </c>
      <c r="J199" s="35"/>
      <c r="K199" s="35"/>
      <c r="L199" s="35"/>
      <c r="M199" s="36"/>
      <c r="N199" s="32"/>
    </row>
    <row r="200" spans="1:14">
      <c r="A200" s="35" t="s">
        <v>59</v>
      </c>
      <c r="B200" s="50">
        <v>314.75</v>
      </c>
      <c r="C200" s="35" t="s">
        <v>334</v>
      </c>
      <c r="D200" s="36">
        <v>43838</v>
      </c>
      <c r="E200" s="7">
        <v>43889</v>
      </c>
      <c r="F200" s="35">
        <v>199</v>
      </c>
      <c r="J200" s="35"/>
      <c r="K200" s="35"/>
      <c r="L200" s="35"/>
      <c r="M200" s="36"/>
      <c r="N200" s="32"/>
    </row>
    <row r="201" spans="1:14">
      <c r="A201" s="35" t="s">
        <v>59</v>
      </c>
      <c r="B201" s="50">
        <v>18125</v>
      </c>
      <c r="C201" s="35" t="s">
        <v>334</v>
      </c>
      <c r="D201" s="36">
        <v>43857</v>
      </c>
      <c r="E201" s="8" t="s">
        <v>137</v>
      </c>
      <c r="F201" s="35">
        <v>200</v>
      </c>
      <c r="J201" s="35"/>
      <c r="K201" s="35"/>
      <c r="L201" s="35"/>
      <c r="M201" s="36"/>
      <c r="N201" s="32"/>
    </row>
    <row r="202" spans="1:14">
      <c r="A202" s="35" t="s">
        <v>12</v>
      </c>
      <c r="B202" s="50">
        <v>562.5</v>
      </c>
      <c r="C202" s="35" t="s">
        <v>334</v>
      </c>
      <c r="D202" s="36">
        <v>43858</v>
      </c>
      <c r="E202" s="7">
        <v>43891</v>
      </c>
      <c r="F202" s="35">
        <v>201</v>
      </c>
    </row>
    <row r="203" spans="1:14">
      <c r="A203" s="35" t="s">
        <v>59</v>
      </c>
      <c r="C203" s="35" t="s">
        <v>333</v>
      </c>
      <c r="D203" s="36">
        <v>43854</v>
      </c>
      <c r="E203" s="21">
        <v>43871</v>
      </c>
      <c r="F203" s="35">
        <v>202</v>
      </c>
    </row>
    <row r="204" spans="1:14">
      <c r="A204" s="35" t="s">
        <v>54</v>
      </c>
      <c r="B204" s="50">
        <v>9321.4019388516026</v>
      </c>
      <c r="C204" s="35" t="s">
        <v>334</v>
      </c>
      <c r="D204" s="36">
        <v>43859</v>
      </c>
      <c r="E204" s="7">
        <v>43889</v>
      </c>
      <c r="F204" s="35">
        <v>203</v>
      </c>
    </row>
    <row r="205" spans="1:14">
      <c r="A205" s="35" t="s">
        <v>70</v>
      </c>
      <c r="B205" s="50">
        <v>712.5</v>
      </c>
      <c r="C205" s="35" t="s">
        <v>334</v>
      </c>
      <c r="D205" s="36">
        <v>43859</v>
      </c>
      <c r="E205" s="7">
        <v>43879</v>
      </c>
      <c r="F205" s="35">
        <v>204</v>
      </c>
    </row>
    <row r="206" spans="1:14">
      <c r="A206" s="35" t="s">
        <v>70</v>
      </c>
      <c r="B206" s="50">
        <v>712.5</v>
      </c>
      <c r="C206" s="35" t="s">
        <v>334</v>
      </c>
      <c r="D206" s="36">
        <v>43859</v>
      </c>
      <c r="E206" s="7">
        <v>43879</v>
      </c>
      <c r="F206" s="35">
        <v>205</v>
      </c>
    </row>
    <row r="207" spans="1:14">
      <c r="A207" t="s">
        <v>350</v>
      </c>
      <c r="B207" s="51">
        <v>43</v>
      </c>
      <c r="C207" t="s">
        <v>333</v>
      </c>
      <c r="D207">
        <v>43790</v>
      </c>
      <c r="E207" s="9">
        <v>43791</v>
      </c>
      <c r="F207" s="35"/>
    </row>
    <row r="208" spans="1:14">
      <c r="E208" s="9"/>
      <c r="F208" s="35"/>
    </row>
    <row r="209" spans="1:6">
      <c r="A209"/>
      <c r="B209" s="51"/>
      <c r="C209"/>
      <c r="D209"/>
      <c r="E209" s="9"/>
      <c r="F209" s="35"/>
    </row>
    <row r="210" spans="1:6">
      <c r="A210"/>
      <c r="B210" s="51"/>
      <c r="C210"/>
      <c r="D210"/>
      <c r="E210" s="9"/>
    </row>
    <row r="211" spans="1:6">
      <c r="A211"/>
      <c r="B211" s="51"/>
      <c r="C211"/>
      <c r="D211"/>
      <c r="E211" s="9"/>
    </row>
    <row r="212" spans="1:6">
      <c r="A212"/>
      <c r="B212" s="51"/>
      <c r="C212"/>
      <c r="D212"/>
      <c r="E212" s="9"/>
    </row>
    <row r="213" spans="1:6">
      <c r="A213"/>
      <c r="B213" s="51"/>
      <c r="C213"/>
      <c r="D213"/>
      <c r="E213" s="9"/>
    </row>
    <row r="214" spans="1:6">
      <c r="A214"/>
      <c r="B214" s="51"/>
      <c r="C214"/>
      <c r="D214"/>
      <c r="E214" s="9"/>
    </row>
    <row r="215" spans="1:6">
      <c r="A215"/>
      <c r="B215" s="51"/>
      <c r="C215"/>
      <c r="D215"/>
      <c r="E215" s="9"/>
    </row>
    <row r="216" spans="1:6">
      <c r="A216"/>
      <c r="B216" s="51"/>
      <c r="C216"/>
      <c r="D216"/>
      <c r="E216" s="9"/>
    </row>
    <row r="217" spans="1:6">
      <c r="A217"/>
      <c r="B217" s="51"/>
      <c r="C217"/>
      <c r="D217"/>
      <c r="E217" s="9"/>
    </row>
    <row r="218" spans="1:6">
      <c r="A218"/>
      <c r="B218" s="51"/>
      <c r="C218"/>
      <c r="D218"/>
      <c r="E218" s="9"/>
    </row>
    <row r="219" spans="1:6">
      <c r="A219"/>
      <c r="B219" s="51"/>
      <c r="C219"/>
      <c r="D219"/>
      <c r="E219" s="9"/>
    </row>
    <row r="220" spans="1:6">
      <c r="A220"/>
      <c r="B220" s="51"/>
      <c r="C220"/>
      <c r="D220"/>
      <c r="E220" s="9"/>
    </row>
    <row r="221" spans="1:6">
      <c r="A221"/>
      <c r="B221" s="51"/>
      <c r="C221"/>
      <c r="D221"/>
      <c r="E221" s="9"/>
    </row>
    <row r="222" spans="1:6">
      <c r="A222"/>
      <c r="B222" s="51"/>
      <c r="C222"/>
      <c r="D222"/>
      <c r="E222" s="9"/>
    </row>
    <row r="223" spans="1:6">
      <c r="A223"/>
      <c r="B223" s="51"/>
      <c r="C223"/>
      <c r="D223"/>
      <c r="E223" s="9"/>
    </row>
    <row r="224" spans="1:6">
      <c r="A224"/>
      <c r="B224" s="51"/>
      <c r="C224"/>
      <c r="D224"/>
      <c r="E224" s="9"/>
    </row>
    <row r="225" spans="1:5">
      <c r="A225"/>
      <c r="B225" s="51"/>
      <c r="C225"/>
      <c r="D225"/>
      <c r="E225" s="9"/>
    </row>
    <row r="226" spans="1:5">
      <c r="A226"/>
      <c r="B226" s="51"/>
      <c r="C226"/>
      <c r="D226"/>
      <c r="E226" s="9"/>
    </row>
    <row r="227" spans="1:5">
      <c r="A227"/>
      <c r="B227" s="51"/>
      <c r="C227"/>
      <c r="D227"/>
      <c r="E227" s="9"/>
    </row>
    <row r="228" spans="1:5">
      <c r="A228"/>
      <c r="B228" s="51"/>
      <c r="C228"/>
      <c r="D228"/>
    </row>
    <row r="229" spans="1:5">
      <c r="A229"/>
      <c r="B229" s="51"/>
      <c r="C229"/>
      <c r="D229"/>
    </row>
    <row r="230" spans="1:5">
      <c r="A230"/>
      <c r="B230" s="51"/>
      <c r="C230"/>
      <c r="D230"/>
    </row>
    <row r="231" spans="1:5">
      <c r="A231"/>
      <c r="B231" s="51"/>
      <c r="C231"/>
      <c r="D231"/>
    </row>
    <row r="232" spans="1:5">
      <c r="A232"/>
      <c r="B232" s="51"/>
      <c r="C232"/>
      <c r="D232"/>
    </row>
    <row r="233" spans="1:5">
      <c r="A233"/>
      <c r="B233" s="51"/>
      <c r="C233"/>
      <c r="D233"/>
    </row>
    <row r="234" spans="1:5">
      <c r="A234"/>
      <c r="B234" s="51"/>
      <c r="C234"/>
      <c r="D234"/>
    </row>
    <row r="235" spans="1:5">
      <c r="A235"/>
      <c r="B235" s="51"/>
      <c r="C235"/>
      <c r="D235"/>
    </row>
    <row r="236" spans="1:5">
      <c r="A236"/>
      <c r="B236" s="51"/>
      <c r="C236"/>
      <c r="D236"/>
    </row>
    <row r="237" spans="1:5">
      <c r="A237"/>
      <c r="B237" s="51"/>
      <c r="C237"/>
      <c r="D237"/>
    </row>
  </sheetData>
  <dataValidations disablePrompts="1" count="1">
    <dataValidation type="list" allowBlank="1" showInputMessage="1" showErrorMessage="1" sqref="C2:C7">
      <formula1>$J$1:$J$2</formula1>
    </dataValidation>
  </dataValidation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2"/>
  <dimension ref="A1:L227"/>
  <sheetViews>
    <sheetView workbookViewId="0">
      <selection activeCell="C20" sqref="C20"/>
    </sheetView>
  </sheetViews>
  <sheetFormatPr defaultRowHeight="15"/>
  <cols>
    <col min="1" max="1" width="17.28515625" style="25" customWidth="1"/>
    <col min="2" max="2" width="20.7109375" style="25" customWidth="1"/>
    <col min="3" max="3" width="24" style="25" customWidth="1"/>
    <col min="4" max="4" width="22" style="25" customWidth="1"/>
    <col min="5" max="5" width="14.85546875" style="25" customWidth="1"/>
    <col min="6" max="6" width="13.28515625" style="25" customWidth="1"/>
    <col min="7" max="7" width="7.28515625" style="25" customWidth="1"/>
    <col min="8" max="8" width="3.5703125" style="26" customWidth="1"/>
    <col min="9" max="9" width="11.42578125" style="25" customWidth="1"/>
    <col min="10" max="10" width="13.7109375" style="25" bestFit="1" customWidth="1"/>
    <col min="11" max="11" width="3" style="27" customWidth="1"/>
    <col min="12" max="12" width="14.7109375" bestFit="1" customWidth="1"/>
  </cols>
  <sheetData>
    <row r="1" spans="1:12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3" t="s">
        <v>5</v>
      </c>
      <c r="G1" s="2" t="s">
        <v>6</v>
      </c>
      <c r="H1" s="4"/>
      <c r="I1" s="3" t="s">
        <v>4</v>
      </c>
      <c r="J1" s="3" t="s">
        <v>5</v>
      </c>
      <c r="K1" s="5"/>
      <c r="L1" s="6" t="s">
        <v>7</v>
      </c>
    </row>
    <row r="2" spans="1:12">
      <c r="A2" s="7">
        <v>43831</v>
      </c>
      <c r="B2" s="7">
        <v>43831</v>
      </c>
      <c r="C2" s="8" t="s">
        <v>8</v>
      </c>
      <c r="D2" s="8">
        <v>667150</v>
      </c>
      <c r="E2" s="8"/>
      <c r="F2" s="8"/>
      <c r="G2" s="8" t="s">
        <v>9</v>
      </c>
      <c r="H2" s="4"/>
      <c r="I2" s="8">
        <v>717</v>
      </c>
      <c r="J2" s="9"/>
      <c r="K2" s="5"/>
      <c r="L2" s="6"/>
    </row>
    <row r="3" spans="1:12">
      <c r="A3" s="7">
        <v>43831</v>
      </c>
      <c r="B3" s="7">
        <v>43832</v>
      </c>
      <c r="C3" s="8" t="s">
        <v>10</v>
      </c>
      <c r="D3" s="10" t="s">
        <v>11</v>
      </c>
      <c r="E3" s="11"/>
      <c r="F3" s="8"/>
      <c r="G3" s="8" t="s">
        <v>9</v>
      </c>
      <c r="H3" s="4"/>
      <c r="I3" s="8">
        <v>304.75</v>
      </c>
      <c r="J3" s="9"/>
      <c r="K3" s="5"/>
      <c r="L3" s="6"/>
    </row>
    <row r="4" spans="1:12">
      <c r="A4" s="7">
        <v>43830</v>
      </c>
      <c r="B4" s="7">
        <v>43860</v>
      </c>
      <c r="C4" s="8" t="s">
        <v>12</v>
      </c>
      <c r="D4" s="10" t="s">
        <v>13</v>
      </c>
      <c r="E4" s="8"/>
      <c r="F4" s="8"/>
      <c r="G4" s="8" t="s">
        <v>14</v>
      </c>
      <c r="H4" s="4"/>
      <c r="I4" s="8">
        <v>2500</v>
      </c>
      <c r="J4" s="9"/>
      <c r="K4" s="5"/>
      <c r="L4" s="12" t="s">
        <v>15</v>
      </c>
    </row>
    <row r="5" spans="1:12">
      <c r="A5" s="7">
        <v>43830</v>
      </c>
      <c r="B5" s="7">
        <v>43860</v>
      </c>
      <c r="C5" s="8" t="s">
        <v>12</v>
      </c>
      <c r="D5" s="10" t="s">
        <v>16</v>
      </c>
      <c r="E5" s="8"/>
      <c r="F5" s="8"/>
      <c r="G5" s="8" t="s">
        <v>14</v>
      </c>
      <c r="H5" s="4"/>
      <c r="I5" s="8">
        <v>1875</v>
      </c>
      <c r="J5" s="9"/>
      <c r="K5" s="5"/>
      <c r="L5" s="12" t="s">
        <v>15</v>
      </c>
    </row>
    <row r="6" spans="1:12">
      <c r="A6" s="7">
        <v>43830</v>
      </c>
      <c r="B6" s="7">
        <v>43860</v>
      </c>
      <c r="C6" s="8" t="s">
        <v>17</v>
      </c>
      <c r="D6" s="8">
        <v>1348</v>
      </c>
      <c r="E6" s="8"/>
      <c r="F6" s="8"/>
      <c r="G6" s="8" t="s">
        <v>14</v>
      </c>
      <c r="H6" s="4"/>
      <c r="I6" s="8">
        <v>782.1</v>
      </c>
      <c r="J6" s="9"/>
      <c r="K6" s="5"/>
      <c r="L6" s="12" t="s">
        <v>15</v>
      </c>
    </row>
    <row r="7" spans="1:12">
      <c r="A7" s="13">
        <v>43820</v>
      </c>
      <c r="B7" s="13">
        <v>43844</v>
      </c>
      <c r="C7" s="14" t="s">
        <v>18</v>
      </c>
      <c r="D7" s="14" t="s">
        <v>19</v>
      </c>
      <c r="E7" s="14"/>
      <c r="F7" s="14"/>
      <c r="G7" s="14" t="s">
        <v>14</v>
      </c>
      <c r="H7" s="15"/>
      <c r="I7" s="16"/>
      <c r="J7" s="14">
        <v>-594</v>
      </c>
      <c r="K7" s="17"/>
      <c r="L7" s="18" t="s">
        <v>20</v>
      </c>
    </row>
    <row r="8" spans="1:12">
      <c r="A8" s="7">
        <v>43820</v>
      </c>
      <c r="B8" s="7">
        <v>43834</v>
      </c>
      <c r="C8" s="8" t="s">
        <v>18</v>
      </c>
      <c r="D8" s="8" t="s">
        <v>21</v>
      </c>
      <c r="E8" s="8"/>
      <c r="F8" s="8"/>
      <c r="G8" s="8" t="s">
        <v>14</v>
      </c>
      <c r="H8" s="4"/>
      <c r="I8" s="9"/>
      <c r="J8" s="8">
        <v>36694.800000000003</v>
      </c>
      <c r="K8" s="5"/>
      <c r="L8" s="12" t="s">
        <v>15</v>
      </c>
    </row>
    <row r="9" spans="1:12">
      <c r="A9" s="7">
        <v>43822</v>
      </c>
      <c r="B9" s="7">
        <v>43852</v>
      </c>
      <c r="C9" s="8" t="s">
        <v>22</v>
      </c>
      <c r="D9" s="8" t="s">
        <v>23</v>
      </c>
      <c r="E9" s="8"/>
      <c r="F9" s="8"/>
      <c r="G9" s="8" t="s">
        <v>14</v>
      </c>
      <c r="H9" s="4"/>
      <c r="I9" s="9"/>
      <c r="J9" s="8">
        <v>6625.44</v>
      </c>
      <c r="K9" s="5"/>
      <c r="L9" s="12" t="s">
        <v>15</v>
      </c>
    </row>
    <row r="10" spans="1:12">
      <c r="A10" s="7">
        <v>43822</v>
      </c>
      <c r="B10" s="19">
        <v>43852</v>
      </c>
      <c r="C10" s="8" t="s">
        <v>22</v>
      </c>
      <c r="D10" s="8" t="s">
        <v>24</v>
      </c>
      <c r="E10" s="8"/>
      <c r="F10" s="8"/>
      <c r="G10" s="8" t="s">
        <v>14</v>
      </c>
      <c r="H10" s="4"/>
      <c r="I10" s="9"/>
      <c r="J10" s="8">
        <v>3715.2</v>
      </c>
      <c r="K10" s="5"/>
      <c r="L10" s="12" t="s">
        <v>15</v>
      </c>
    </row>
    <row r="11" spans="1:12">
      <c r="A11" s="7">
        <v>43826</v>
      </c>
      <c r="B11" s="7">
        <v>43866</v>
      </c>
      <c r="C11" s="8" t="s">
        <v>25</v>
      </c>
      <c r="D11" s="8" t="s">
        <v>26</v>
      </c>
      <c r="E11" s="8"/>
      <c r="F11" s="8"/>
      <c r="G11" s="8" t="s">
        <v>14</v>
      </c>
      <c r="H11" s="4"/>
      <c r="I11" s="9"/>
      <c r="J11" s="8">
        <v>4113.6000000000004</v>
      </c>
      <c r="K11" s="5"/>
      <c r="L11" s="12" t="s">
        <v>15</v>
      </c>
    </row>
    <row r="12" spans="1:12">
      <c r="A12" s="7">
        <v>43826</v>
      </c>
      <c r="B12" s="7">
        <v>43866</v>
      </c>
      <c r="C12" s="8" t="s">
        <v>25</v>
      </c>
      <c r="D12" s="8" t="s">
        <v>27</v>
      </c>
      <c r="E12" s="8"/>
      <c r="F12" s="8"/>
      <c r="G12" s="8" t="s">
        <v>14</v>
      </c>
      <c r="H12" s="4"/>
      <c r="I12" s="9"/>
      <c r="J12" s="8">
        <v>7167.95</v>
      </c>
      <c r="K12" s="5"/>
      <c r="L12" s="12" t="s">
        <v>15</v>
      </c>
    </row>
    <row r="13" spans="1:12">
      <c r="A13" s="7">
        <v>43822</v>
      </c>
      <c r="B13" s="7">
        <v>43853</v>
      </c>
      <c r="C13" s="8" t="s">
        <v>28</v>
      </c>
      <c r="D13" s="8">
        <v>1931385</v>
      </c>
      <c r="E13" s="8"/>
      <c r="F13" s="8"/>
      <c r="G13" s="8" t="s">
        <v>14</v>
      </c>
      <c r="H13" s="4"/>
      <c r="I13" s="9"/>
      <c r="J13" s="8">
        <v>2890.5</v>
      </c>
      <c r="K13" s="5"/>
      <c r="L13" s="12" t="s">
        <v>15</v>
      </c>
    </row>
    <row r="14" spans="1:12">
      <c r="A14" s="7">
        <v>43823</v>
      </c>
      <c r="B14" s="20">
        <v>43844</v>
      </c>
      <c r="C14" s="8" t="s">
        <v>29</v>
      </c>
      <c r="D14" s="8" t="s">
        <v>30</v>
      </c>
      <c r="E14" s="8"/>
      <c r="F14" s="8"/>
      <c r="G14" s="8" t="s">
        <v>14</v>
      </c>
      <c r="H14" s="4"/>
      <c r="I14" s="9"/>
      <c r="J14" s="8">
        <v>3156</v>
      </c>
      <c r="K14" s="5"/>
      <c r="L14" s="12" t="s">
        <v>15</v>
      </c>
    </row>
    <row r="15" spans="1:12">
      <c r="A15" s="7">
        <v>43819</v>
      </c>
      <c r="B15" s="7">
        <v>43850</v>
      </c>
      <c r="C15" s="8" t="s">
        <v>31</v>
      </c>
      <c r="D15" s="8" t="s">
        <v>32</v>
      </c>
      <c r="E15" s="8"/>
      <c r="F15" s="8"/>
      <c r="G15" s="8" t="s">
        <v>14</v>
      </c>
      <c r="H15" s="4"/>
      <c r="I15" s="9"/>
      <c r="J15" s="8">
        <v>6720</v>
      </c>
      <c r="K15" s="5"/>
      <c r="L15" s="12" t="s">
        <v>15</v>
      </c>
    </row>
    <row r="16" spans="1:12">
      <c r="A16" s="7">
        <v>43819</v>
      </c>
      <c r="B16" s="7">
        <v>43826</v>
      </c>
      <c r="C16" s="8" t="s">
        <v>33</v>
      </c>
      <c r="D16" s="8">
        <v>56787253</v>
      </c>
      <c r="E16" s="8"/>
      <c r="F16" s="8"/>
      <c r="G16" s="8" t="s">
        <v>14</v>
      </c>
      <c r="H16" s="4"/>
      <c r="I16" s="8">
        <v>739.08</v>
      </c>
      <c r="J16" s="9"/>
      <c r="K16" s="5"/>
      <c r="L16" s="12" t="s">
        <v>15</v>
      </c>
    </row>
    <row r="17" spans="1:12">
      <c r="A17" s="7">
        <v>43833</v>
      </c>
      <c r="B17" s="7">
        <v>43863</v>
      </c>
      <c r="C17" s="8" t="s">
        <v>34</v>
      </c>
      <c r="D17" s="8">
        <v>1161274</v>
      </c>
      <c r="E17" s="8"/>
      <c r="F17" s="8"/>
      <c r="G17" s="8" t="s">
        <v>9</v>
      </c>
      <c r="H17" s="4"/>
      <c r="I17" s="8">
        <v>20875</v>
      </c>
      <c r="J17" s="9"/>
      <c r="K17" s="5"/>
      <c r="L17" s="12" t="s">
        <v>15</v>
      </c>
    </row>
    <row r="18" spans="1:12">
      <c r="A18" s="7">
        <v>43830</v>
      </c>
      <c r="B18" s="8" t="s">
        <v>35</v>
      </c>
      <c r="C18" s="8" t="s">
        <v>36</v>
      </c>
      <c r="D18" s="8">
        <v>1073938</v>
      </c>
      <c r="E18" s="8"/>
      <c r="F18" s="8"/>
      <c r="G18" s="8" t="s">
        <v>15</v>
      </c>
      <c r="H18" s="4"/>
      <c r="I18" s="8">
        <v>96727.73</v>
      </c>
      <c r="J18" s="9"/>
      <c r="K18" s="5"/>
      <c r="L18" s="12" t="s">
        <v>15</v>
      </c>
    </row>
    <row r="19" spans="1:12">
      <c r="A19" s="7">
        <v>43832</v>
      </c>
      <c r="B19" s="7">
        <v>43840</v>
      </c>
      <c r="C19" s="8" t="s">
        <v>37</v>
      </c>
      <c r="D19" s="8">
        <v>7159124</v>
      </c>
      <c r="E19" s="8"/>
      <c r="F19" s="8"/>
      <c r="G19" s="8" t="s">
        <v>9</v>
      </c>
      <c r="H19" s="4"/>
      <c r="I19" s="8">
        <v>2621.25</v>
      </c>
      <c r="J19" s="9"/>
      <c r="K19" s="5"/>
      <c r="L19" s="12" t="s">
        <v>15</v>
      </c>
    </row>
    <row r="20" spans="1:12">
      <c r="A20" s="7">
        <v>43829</v>
      </c>
      <c r="B20" s="7">
        <v>43843</v>
      </c>
      <c r="C20" s="8" t="s">
        <v>38</v>
      </c>
      <c r="D20" s="8">
        <v>61018</v>
      </c>
      <c r="E20" s="8"/>
      <c r="F20" s="8"/>
      <c r="G20" s="8" t="s">
        <v>39</v>
      </c>
      <c r="H20" s="4"/>
      <c r="I20" s="8">
        <v>848.29</v>
      </c>
      <c r="J20" s="9"/>
      <c r="K20" s="5"/>
      <c r="L20" s="12" t="s">
        <v>15</v>
      </c>
    </row>
    <row r="21" spans="1:12">
      <c r="A21" s="7">
        <v>43829</v>
      </c>
      <c r="B21" s="7">
        <v>43837</v>
      </c>
      <c r="C21" s="8" t="s">
        <v>40</v>
      </c>
      <c r="D21" s="8">
        <v>850840</v>
      </c>
      <c r="E21" s="8"/>
      <c r="F21" s="8"/>
      <c r="G21" s="8" t="s">
        <v>15</v>
      </c>
      <c r="H21" s="4"/>
      <c r="I21" s="8">
        <v>5807.51</v>
      </c>
      <c r="J21" s="9"/>
      <c r="K21" s="5"/>
      <c r="L21" s="12" t="s">
        <v>15</v>
      </c>
    </row>
    <row r="22" spans="1:12">
      <c r="A22" s="7">
        <v>43829</v>
      </c>
      <c r="B22" s="7">
        <v>43837</v>
      </c>
      <c r="C22" s="8" t="s">
        <v>40</v>
      </c>
      <c r="D22" s="8">
        <v>850839</v>
      </c>
      <c r="E22" s="8"/>
      <c r="F22" s="8"/>
      <c r="G22" s="8" t="s">
        <v>15</v>
      </c>
      <c r="H22" s="4"/>
      <c r="I22" s="8">
        <v>7646.94</v>
      </c>
      <c r="J22" s="9"/>
      <c r="K22" s="5"/>
      <c r="L22" s="12" t="s">
        <v>15</v>
      </c>
    </row>
    <row r="23" spans="1:12">
      <c r="A23" s="7">
        <v>43829</v>
      </c>
      <c r="B23" s="7">
        <v>43837</v>
      </c>
      <c r="C23" s="8" t="s">
        <v>40</v>
      </c>
      <c r="D23" s="8">
        <v>850841</v>
      </c>
      <c r="E23" s="8"/>
      <c r="F23" s="8"/>
      <c r="G23" s="8" t="s">
        <v>15</v>
      </c>
      <c r="H23" s="4"/>
      <c r="I23" s="8">
        <v>2125.63</v>
      </c>
      <c r="J23" s="9"/>
      <c r="K23" s="5"/>
      <c r="L23" s="12" t="s">
        <v>15</v>
      </c>
    </row>
    <row r="24" spans="1:12">
      <c r="A24" s="7">
        <v>43829</v>
      </c>
      <c r="B24" s="7">
        <v>43837</v>
      </c>
      <c r="C24" s="8" t="s">
        <v>40</v>
      </c>
      <c r="D24" s="8">
        <v>850842</v>
      </c>
      <c r="E24" s="8"/>
      <c r="F24" s="8"/>
      <c r="G24" s="8" t="s">
        <v>15</v>
      </c>
      <c r="H24" s="4"/>
      <c r="I24" s="8">
        <v>6615</v>
      </c>
      <c r="J24" s="9"/>
      <c r="K24" s="5"/>
      <c r="L24" s="12" t="s">
        <v>15</v>
      </c>
    </row>
    <row r="25" spans="1:12">
      <c r="A25" s="7">
        <v>43830</v>
      </c>
      <c r="B25" s="7">
        <v>43844</v>
      </c>
      <c r="C25" s="8" t="s">
        <v>29</v>
      </c>
      <c r="D25" s="8" t="s">
        <v>41</v>
      </c>
      <c r="E25" s="8"/>
      <c r="F25" s="8"/>
      <c r="G25" s="8" t="s">
        <v>42</v>
      </c>
      <c r="H25" s="4"/>
      <c r="I25" s="9"/>
      <c r="J25" s="8">
        <v>4420</v>
      </c>
      <c r="K25" s="5"/>
      <c r="L25" s="12" t="s">
        <v>15</v>
      </c>
    </row>
    <row r="26" spans="1:12">
      <c r="A26" s="7">
        <v>43830</v>
      </c>
      <c r="B26" s="7">
        <v>43860</v>
      </c>
      <c r="C26" s="8" t="s">
        <v>12</v>
      </c>
      <c r="D26" s="10" t="s">
        <v>43</v>
      </c>
      <c r="E26" s="8"/>
      <c r="F26" s="8"/>
      <c r="G26" s="8" t="s">
        <v>42</v>
      </c>
      <c r="H26" s="4"/>
      <c r="I26" s="8">
        <v>2625</v>
      </c>
      <c r="J26" s="9"/>
      <c r="K26" s="5"/>
      <c r="L26" s="12" t="s">
        <v>15</v>
      </c>
    </row>
    <row r="27" spans="1:12">
      <c r="A27" s="7">
        <v>43826</v>
      </c>
      <c r="B27" s="7">
        <v>43860</v>
      </c>
      <c r="C27" s="8" t="s">
        <v>12</v>
      </c>
      <c r="D27" s="10" t="s">
        <v>44</v>
      </c>
      <c r="E27" s="8"/>
      <c r="F27" s="8"/>
      <c r="G27" s="8" t="s">
        <v>42</v>
      </c>
      <c r="H27" s="4"/>
      <c r="I27" s="8">
        <v>1268.75</v>
      </c>
      <c r="J27" s="9"/>
      <c r="K27" s="5"/>
      <c r="L27" s="12" t="s">
        <v>15</v>
      </c>
    </row>
    <row r="28" spans="1:12">
      <c r="A28" s="7">
        <v>43826</v>
      </c>
      <c r="B28" s="7">
        <v>43860</v>
      </c>
      <c r="C28" s="8" t="s">
        <v>12</v>
      </c>
      <c r="D28" s="10" t="s">
        <v>45</v>
      </c>
      <c r="E28" s="8"/>
      <c r="F28" s="8"/>
      <c r="G28" s="8" t="s">
        <v>42</v>
      </c>
      <c r="H28" s="4"/>
      <c r="I28" s="8">
        <v>634.38</v>
      </c>
      <c r="J28" s="9"/>
      <c r="K28" s="5"/>
      <c r="L28" s="12" t="s">
        <v>15</v>
      </c>
    </row>
    <row r="29" spans="1:12">
      <c r="A29" s="7">
        <v>43817</v>
      </c>
      <c r="B29" s="7">
        <v>43831</v>
      </c>
      <c r="C29" s="8" t="s">
        <v>46</v>
      </c>
      <c r="D29" s="8">
        <v>136656</v>
      </c>
      <c r="E29" s="8"/>
      <c r="F29" s="8"/>
      <c r="G29" s="8" t="s">
        <v>9</v>
      </c>
      <c r="H29" s="4"/>
      <c r="I29" s="8">
        <v>12000</v>
      </c>
      <c r="J29" s="9"/>
      <c r="K29" s="5"/>
      <c r="L29" s="12" t="s">
        <v>15</v>
      </c>
    </row>
    <row r="30" spans="1:12">
      <c r="A30" s="7">
        <v>43822</v>
      </c>
      <c r="B30" s="7">
        <v>43832</v>
      </c>
      <c r="C30" s="8" t="s">
        <v>47</v>
      </c>
      <c r="D30" s="8">
        <v>190914</v>
      </c>
      <c r="E30" s="8"/>
      <c r="F30" s="8"/>
      <c r="G30" s="8" t="s">
        <v>9</v>
      </c>
      <c r="H30" s="4"/>
      <c r="I30" s="8">
        <v>11862.5</v>
      </c>
      <c r="J30" s="9"/>
      <c r="K30" s="5"/>
      <c r="L30" s="12" t="s">
        <v>15</v>
      </c>
    </row>
    <row r="31" spans="1:12">
      <c r="A31" s="7">
        <v>43825</v>
      </c>
      <c r="B31" s="7">
        <v>43833</v>
      </c>
      <c r="C31" s="8" t="s">
        <v>48</v>
      </c>
      <c r="D31" s="8">
        <v>10395</v>
      </c>
      <c r="E31" s="8"/>
      <c r="F31" s="8"/>
      <c r="G31" s="8" t="s">
        <v>9</v>
      </c>
      <c r="H31" s="4"/>
      <c r="I31" s="8">
        <v>2400</v>
      </c>
      <c r="J31" s="9"/>
      <c r="K31" s="5"/>
      <c r="L31" s="12" t="s">
        <v>15</v>
      </c>
    </row>
    <row r="32" spans="1:12">
      <c r="A32" s="7">
        <v>43821</v>
      </c>
      <c r="B32" s="7">
        <v>43826</v>
      </c>
      <c r="C32" s="8" t="s">
        <v>49</v>
      </c>
      <c r="D32" s="8">
        <v>4465920</v>
      </c>
      <c r="E32" s="8"/>
      <c r="F32" s="8"/>
      <c r="G32" s="8" t="s">
        <v>9</v>
      </c>
      <c r="H32" s="4"/>
      <c r="I32" s="8">
        <v>1384</v>
      </c>
      <c r="J32" s="9"/>
      <c r="K32" s="5"/>
      <c r="L32" s="12" t="s">
        <v>15</v>
      </c>
    </row>
    <row r="33" spans="1:12">
      <c r="A33" s="7">
        <v>43831</v>
      </c>
      <c r="B33" s="7">
        <v>43840</v>
      </c>
      <c r="C33" s="11" t="s">
        <v>50</v>
      </c>
      <c r="D33" s="8">
        <v>24122839</v>
      </c>
      <c r="E33" s="8"/>
      <c r="F33" s="8"/>
      <c r="G33" s="8" t="s">
        <v>9</v>
      </c>
      <c r="H33" s="4"/>
      <c r="I33" s="8">
        <v>328.75</v>
      </c>
      <c r="J33" s="9"/>
      <c r="K33" s="5"/>
      <c r="L33" s="12" t="s">
        <v>15</v>
      </c>
    </row>
    <row r="34" spans="1:12">
      <c r="A34" s="7">
        <v>43831</v>
      </c>
      <c r="B34" s="7">
        <v>43832</v>
      </c>
      <c r="C34" s="8" t="s">
        <v>10</v>
      </c>
      <c r="D34" s="10" t="s">
        <v>11</v>
      </c>
      <c r="E34" s="8"/>
      <c r="F34" s="8"/>
      <c r="G34" s="8" t="s">
        <v>9</v>
      </c>
      <c r="H34" s="4"/>
      <c r="I34" s="8">
        <v>304.75</v>
      </c>
      <c r="J34" s="9"/>
      <c r="K34" s="5"/>
      <c r="L34" s="12" t="s">
        <v>15</v>
      </c>
    </row>
    <row r="35" spans="1:12">
      <c r="A35" s="7">
        <v>43805</v>
      </c>
      <c r="B35" s="7">
        <v>43861</v>
      </c>
      <c r="C35" s="8" t="s">
        <v>51</v>
      </c>
      <c r="D35" s="8">
        <v>84</v>
      </c>
      <c r="E35" s="8"/>
      <c r="F35" s="8"/>
      <c r="G35" s="8" t="s">
        <v>9</v>
      </c>
      <c r="H35" s="4"/>
      <c r="I35" s="8">
        <v>314.75</v>
      </c>
      <c r="J35" s="9"/>
      <c r="K35" s="5"/>
      <c r="L35" s="12" t="s">
        <v>15</v>
      </c>
    </row>
    <row r="36" spans="1:12">
      <c r="A36" s="7">
        <v>43812</v>
      </c>
      <c r="B36" s="7">
        <v>43842</v>
      </c>
      <c r="C36" s="8" t="s">
        <v>52</v>
      </c>
      <c r="D36" s="8">
        <v>323302</v>
      </c>
      <c r="E36" s="8"/>
      <c r="F36" s="8"/>
      <c r="G36" s="8" t="s">
        <v>9</v>
      </c>
      <c r="H36" s="4"/>
      <c r="I36" s="8">
        <v>311.25</v>
      </c>
      <c r="J36" s="9"/>
      <c r="K36" s="5"/>
      <c r="L36" s="12" t="s">
        <v>15</v>
      </c>
    </row>
    <row r="37" spans="1:12">
      <c r="A37" s="7">
        <v>43817</v>
      </c>
      <c r="B37" s="7">
        <v>43825</v>
      </c>
      <c r="C37" s="8" t="s">
        <v>53</v>
      </c>
      <c r="D37" s="8">
        <v>4699</v>
      </c>
      <c r="E37" s="8"/>
      <c r="F37" s="8"/>
      <c r="G37" s="8" t="s">
        <v>9</v>
      </c>
      <c r="H37" s="4"/>
      <c r="I37" s="8">
        <v>2970</v>
      </c>
      <c r="J37" s="9"/>
      <c r="K37" s="5"/>
      <c r="L37" s="12" t="s">
        <v>15</v>
      </c>
    </row>
    <row r="38" spans="1:12">
      <c r="A38" s="7">
        <v>43822</v>
      </c>
      <c r="B38" s="7">
        <v>43852</v>
      </c>
      <c r="C38" s="8" t="s">
        <v>54</v>
      </c>
      <c r="D38" s="8" t="s">
        <v>55</v>
      </c>
      <c r="E38" s="8"/>
      <c r="F38" s="8"/>
      <c r="G38" s="8" t="s">
        <v>42</v>
      </c>
      <c r="H38" s="4"/>
      <c r="I38" s="9"/>
      <c r="J38" s="8">
        <v>500</v>
      </c>
      <c r="K38" s="5"/>
      <c r="L38" s="12" t="s">
        <v>15</v>
      </c>
    </row>
    <row r="39" spans="1:12">
      <c r="A39" s="7">
        <v>43822</v>
      </c>
      <c r="B39" s="7">
        <v>43852</v>
      </c>
      <c r="C39" s="8" t="s">
        <v>54</v>
      </c>
      <c r="D39" s="8" t="s">
        <v>56</v>
      </c>
      <c r="E39" s="8"/>
      <c r="F39" s="8"/>
      <c r="G39" s="8" t="s">
        <v>42</v>
      </c>
      <c r="H39" s="4"/>
      <c r="I39" s="9"/>
      <c r="J39" s="8">
        <v>500</v>
      </c>
      <c r="K39" s="5"/>
      <c r="L39" s="12" t="s">
        <v>15</v>
      </c>
    </row>
    <row r="40" spans="1:12">
      <c r="A40" s="7">
        <v>43818</v>
      </c>
      <c r="B40" s="7">
        <v>43860</v>
      </c>
      <c r="C40" s="8" t="s">
        <v>12</v>
      </c>
      <c r="D40" s="10" t="s">
        <v>57</v>
      </c>
      <c r="E40" s="8"/>
      <c r="F40" s="8"/>
      <c r="G40" s="8" t="s">
        <v>42</v>
      </c>
      <c r="H40" s="4"/>
      <c r="I40" s="8">
        <v>3056.25</v>
      </c>
      <c r="J40" s="9"/>
      <c r="K40" s="5"/>
      <c r="L40" s="12" t="s">
        <v>15</v>
      </c>
    </row>
    <row r="41" spans="1:12">
      <c r="A41" s="7">
        <v>43816</v>
      </c>
      <c r="B41" s="7">
        <v>43856</v>
      </c>
      <c r="C41" s="8" t="s">
        <v>25</v>
      </c>
      <c r="D41" s="8" t="s">
        <v>58</v>
      </c>
      <c r="E41" s="8"/>
      <c r="F41" s="8"/>
      <c r="G41" s="8" t="s">
        <v>42</v>
      </c>
      <c r="H41" s="4"/>
      <c r="I41" s="9"/>
      <c r="J41" s="8">
        <v>1882.44</v>
      </c>
      <c r="K41" s="5"/>
      <c r="L41" s="12" t="s">
        <v>15</v>
      </c>
    </row>
    <row r="42" spans="1:12">
      <c r="A42" s="7">
        <v>43817</v>
      </c>
      <c r="B42" s="7">
        <v>43860</v>
      </c>
      <c r="C42" s="8" t="s">
        <v>59</v>
      </c>
      <c r="D42" s="10" t="s">
        <v>60</v>
      </c>
      <c r="E42" s="8"/>
      <c r="F42" s="8"/>
      <c r="G42" s="8" t="s">
        <v>42</v>
      </c>
      <c r="H42" s="4"/>
      <c r="I42" s="8">
        <v>6328.13</v>
      </c>
      <c r="J42" s="9"/>
      <c r="K42" s="5"/>
      <c r="L42" s="12" t="s">
        <v>15</v>
      </c>
    </row>
    <row r="43" spans="1:12">
      <c r="A43" s="7">
        <v>43829</v>
      </c>
      <c r="B43" s="7">
        <v>43860</v>
      </c>
      <c r="C43" s="8" t="s">
        <v>59</v>
      </c>
      <c r="D43" s="10" t="s">
        <v>61</v>
      </c>
      <c r="E43" s="8"/>
      <c r="F43" s="8"/>
      <c r="G43" s="8" t="s">
        <v>42</v>
      </c>
      <c r="H43" s="4"/>
      <c r="I43" s="8">
        <v>1687.5</v>
      </c>
      <c r="J43" s="9"/>
      <c r="K43" s="5"/>
      <c r="L43" s="12" t="s">
        <v>15</v>
      </c>
    </row>
    <row r="44" spans="1:12">
      <c r="A44" s="7">
        <v>43826</v>
      </c>
      <c r="B44" s="7">
        <v>43856</v>
      </c>
      <c r="C44" s="8" t="s">
        <v>54</v>
      </c>
      <c r="D44" s="8" t="s">
        <v>62</v>
      </c>
      <c r="E44" s="8"/>
      <c r="F44" s="8"/>
      <c r="G44" s="8" t="s">
        <v>42</v>
      </c>
      <c r="H44" s="4"/>
      <c r="I44" s="9"/>
      <c r="J44" s="8">
        <v>2750</v>
      </c>
      <c r="K44" s="5"/>
      <c r="L44" s="12" t="s">
        <v>15</v>
      </c>
    </row>
    <row r="45" spans="1:12">
      <c r="A45" s="7">
        <v>43826</v>
      </c>
      <c r="B45" s="7">
        <v>43856</v>
      </c>
      <c r="C45" s="11" t="s">
        <v>54</v>
      </c>
      <c r="D45" s="8" t="s">
        <v>63</v>
      </c>
      <c r="E45" s="8"/>
      <c r="F45" s="8"/>
      <c r="G45" s="8" t="s">
        <v>42</v>
      </c>
      <c r="H45" s="4"/>
      <c r="I45" s="9"/>
      <c r="J45" s="8">
        <v>1250</v>
      </c>
      <c r="K45" s="5"/>
      <c r="L45" s="12" t="s">
        <v>15</v>
      </c>
    </row>
    <row r="46" spans="1:12">
      <c r="A46" s="7">
        <v>43822</v>
      </c>
      <c r="B46" s="7">
        <v>43860</v>
      </c>
      <c r="C46" s="8" t="s">
        <v>12</v>
      </c>
      <c r="D46" s="10" t="s">
        <v>64</v>
      </c>
      <c r="E46" s="8"/>
      <c r="F46" s="8"/>
      <c r="G46" s="8" t="s">
        <v>42</v>
      </c>
      <c r="H46" s="4"/>
      <c r="I46" s="8">
        <v>2546.88</v>
      </c>
      <c r="J46" s="9"/>
      <c r="K46" s="5"/>
      <c r="L46" s="12" t="s">
        <v>15</v>
      </c>
    </row>
    <row r="47" spans="1:12">
      <c r="A47" s="7">
        <v>43819</v>
      </c>
      <c r="B47" s="7">
        <v>43860</v>
      </c>
      <c r="C47" s="8" t="s">
        <v>12</v>
      </c>
      <c r="D47" s="10" t="s">
        <v>65</v>
      </c>
      <c r="E47" s="8"/>
      <c r="F47" s="8"/>
      <c r="G47" s="8" t="s">
        <v>42</v>
      </c>
      <c r="H47" s="4"/>
      <c r="I47" s="8">
        <v>3750</v>
      </c>
      <c r="J47" s="9"/>
      <c r="K47" s="5"/>
      <c r="L47" s="12" t="s">
        <v>15</v>
      </c>
    </row>
    <row r="48" spans="1:12">
      <c r="A48" s="13">
        <v>43830</v>
      </c>
      <c r="B48" s="14" t="s">
        <v>66</v>
      </c>
      <c r="C48" s="14" t="s">
        <v>36</v>
      </c>
      <c r="D48" s="14">
        <v>5999</v>
      </c>
      <c r="E48" s="14"/>
      <c r="F48" s="14"/>
      <c r="G48" s="14" t="s">
        <v>15</v>
      </c>
      <c r="H48" s="15"/>
      <c r="I48" s="14">
        <v>-10875</v>
      </c>
      <c r="J48" s="16"/>
      <c r="K48" s="17"/>
      <c r="L48" s="18" t="s">
        <v>67</v>
      </c>
    </row>
    <row r="49" spans="1:12">
      <c r="A49" s="7">
        <v>43830</v>
      </c>
      <c r="B49" s="7">
        <v>43838</v>
      </c>
      <c r="C49" s="8" t="s">
        <v>68</v>
      </c>
      <c r="D49" s="8">
        <v>7648</v>
      </c>
      <c r="E49" s="8"/>
      <c r="F49" s="8"/>
      <c r="G49" s="8" t="s">
        <v>9</v>
      </c>
      <c r="H49" s="4"/>
      <c r="I49" s="8">
        <v>550</v>
      </c>
      <c r="J49" s="9"/>
      <c r="K49" s="5"/>
      <c r="L49" s="12" t="s">
        <v>15</v>
      </c>
    </row>
    <row r="50" spans="1:12">
      <c r="A50" s="7">
        <v>43836</v>
      </c>
      <c r="B50" s="7">
        <v>43850</v>
      </c>
      <c r="C50" s="8" t="s">
        <v>38</v>
      </c>
      <c r="D50" s="8">
        <v>61058</v>
      </c>
      <c r="E50" s="8"/>
      <c r="F50" s="8"/>
      <c r="G50" s="8" t="s">
        <v>39</v>
      </c>
      <c r="H50" s="4"/>
      <c r="I50" s="8">
        <v>856.76</v>
      </c>
      <c r="J50" s="9"/>
      <c r="K50" s="5"/>
      <c r="L50" s="12" t="s">
        <v>15</v>
      </c>
    </row>
    <row r="51" spans="1:12">
      <c r="A51" s="7">
        <v>43833</v>
      </c>
      <c r="B51" s="7">
        <v>43854</v>
      </c>
      <c r="C51" s="8" t="s">
        <v>29</v>
      </c>
      <c r="D51" s="8" t="s">
        <v>69</v>
      </c>
      <c r="E51" s="8"/>
      <c r="F51" s="11"/>
      <c r="G51" s="8" t="s">
        <v>42</v>
      </c>
      <c r="H51" s="4"/>
      <c r="I51" s="9"/>
      <c r="J51" s="8">
        <v>2928</v>
      </c>
      <c r="K51" s="5"/>
      <c r="L51" s="12" t="s">
        <v>15</v>
      </c>
    </row>
    <row r="52" spans="1:12">
      <c r="A52" s="7">
        <v>43836</v>
      </c>
      <c r="B52" s="7">
        <v>43856</v>
      </c>
      <c r="C52" s="8" t="s">
        <v>70</v>
      </c>
      <c r="D52" s="8">
        <v>1496266</v>
      </c>
      <c r="E52" s="11"/>
      <c r="F52" s="8"/>
      <c r="G52" s="8" t="s">
        <v>14</v>
      </c>
      <c r="H52" s="4"/>
      <c r="I52" s="8">
        <v>11900</v>
      </c>
      <c r="J52" s="9"/>
      <c r="K52" s="5"/>
      <c r="L52" s="12" t="s">
        <v>15</v>
      </c>
    </row>
    <row r="53" spans="1:12">
      <c r="A53" s="7">
        <v>43836</v>
      </c>
      <c r="B53" s="7">
        <v>43856</v>
      </c>
      <c r="C53" s="8" t="s">
        <v>70</v>
      </c>
      <c r="D53" s="8">
        <v>1496262</v>
      </c>
      <c r="E53" s="8"/>
      <c r="F53" s="8"/>
      <c r="G53" s="8" t="s">
        <v>42</v>
      </c>
      <c r="H53" s="4"/>
      <c r="I53" s="8">
        <v>980</v>
      </c>
      <c r="J53" s="9"/>
      <c r="K53" s="5"/>
      <c r="L53" s="12" t="s">
        <v>15</v>
      </c>
    </row>
    <row r="54" spans="1:12">
      <c r="A54" s="7">
        <v>43836</v>
      </c>
      <c r="B54" s="7">
        <v>43856</v>
      </c>
      <c r="C54" s="8" t="s">
        <v>70</v>
      </c>
      <c r="D54" s="8">
        <v>1496263</v>
      </c>
      <c r="E54" s="8"/>
      <c r="F54" s="8"/>
      <c r="G54" s="8" t="s">
        <v>42</v>
      </c>
      <c r="H54" s="4"/>
      <c r="I54" s="8">
        <v>2968</v>
      </c>
      <c r="J54" s="9"/>
      <c r="K54" s="5"/>
      <c r="L54" s="12" t="s">
        <v>15</v>
      </c>
    </row>
    <row r="55" spans="1:12">
      <c r="A55" s="7">
        <v>43836</v>
      </c>
      <c r="B55" s="7">
        <v>43856</v>
      </c>
      <c r="C55" s="8" t="s">
        <v>70</v>
      </c>
      <c r="D55" s="8">
        <v>1496260</v>
      </c>
      <c r="E55" s="8"/>
      <c r="F55" s="8"/>
      <c r="G55" s="8" t="s">
        <v>42</v>
      </c>
      <c r="H55" s="4"/>
      <c r="I55" s="8">
        <v>4900</v>
      </c>
      <c r="J55" s="9"/>
      <c r="K55" s="5"/>
      <c r="L55" s="12" t="s">
        <v>15</v>
      </c>
    </row>
    <row r="56" spans="1:12">
      <c r="A56" s="7">
        <v>43836</v>
      </c>
      <c r="B56" s="7">
        <v>43856</v>
      </c>
      <c r="C56" s="8" t="s">
        <v>70</v>
      </c>
      <c r="D56" s="8">
        <v>1496259</v>
      </c>
      <c r="E56" s="8"/>
      <c r="F56" s="8"/>
      <c r="G56" s="8" t="s">
        <v>42</v>
      </c>
      <c r="H56" s="4"/>
      <c r="I56" s="8">
        <v>1015</v>
      </c>
      <c r="J56" s="9"/>
      <c r="K56" s="5"/>
      <c r="L56" s="12" t="s">
        <v>15</v>
      </c>
    </row>
    <row r="57" spans="1:12">
      <c r="A57" s="7">
        <v>43830</v>
      </c>
      <c r="B57" s="7">
        <v>43860</v>
      </c>
      <c r="C57" s="8" t="s">
        <v>12</v>
      </c>
      <c r="D57" s="10" t="s">
        <v>71</v>
      </c>
      <c r="E57" s="11"/>
      <c r="F57" s="8"/>
      <c r="G57" s="8" t="s">
        <v>42</v>
      </c>
      <c r="H57" s="4"/>
      <c r="I57" s="8">
        <v>32490.68</v>
      </c>
      <c r="J57" s="9"/>
      <c r="K57" s="5"/>
      <c r="L57" s="12" t="s">
        <v>15</v>
      </c>
    </row>
    <row r="58" spans="1:12">
      <c r="A58" s="7">
        <v>43836</v>
      </c>
      <c r="B58" s="7">
        <v>43856</v>
      </c>
      <c r="C58" s="8" t="s">
        <v>70</v>
      </c>
      <c r="D58" s="8">
        <v>1496314</v>
      </c>
      <c r="E58" s="8"/>
      <c r="F58" s="8"/>
      <c r="G58" s="8" t="s">
        <v>42</v>
      </c>
      <c r="H58" s="4"/>
      <c r="I58" s="8">
        <v>980</v>
      </c>
      <c r="J58" s="9"/>
      <c r="K58" s="5"/>
      <c r="L58" s="12" t="s">
        <v>15</v>
      </c>
    </row>
    <row r="59" spans="1:12">
      <c r="A59" s="7">
        <v>43836</v>
      </c>
      <c r="B59" s="7">
        <v>43856</v>
      </c>
      <c r="C59" s="8" t="s">
        <v>70</v>
      </c>
      <c r="D59" s="8">
        <v>1496316</v>
      </c>
      <c r="E59" s="8"/>
      <c r="F59" s="8"/>
      <c r="G59" s="8" t="s">
        <v>42</v>
      </c>
      <c r="H59" s="4"/>
      <c r="I59" s="8">
        <v>1015</v>
      </c>
      <c r="J59" s="9"/>
      <c r="K59" s="5"/>
      <c r="L59" s="12" t="s">
        <v>15</v>
      </c>
    </row>
    <row r="60" spans="1:12">
      <c r="A60" s="7">
        <v>43805</v>
      </c>
      <c r="B60" s="7">
        <v>43836</v>
      </c>
      <c r="C60" s="8" t="s">
        <v>72</v>
      </c>
      <c r="D60" s="8"/>
      <c r="E60" s="8"/>
      <c r="F60" s="8"/>
      <c r="G60" s="8" t="s">
        <v>9</v>
      </c>
      <c r="H60" s="4"/>
      <c r="I60" s="8">
        <v>28280.34</v>
      </c>
      <c r="J60" s="9"/>
      <c r="K60" s="5"/>
      <c r="L60" s="12" t="s">
        <v>15</v>
      </c>
    </row>
    <row r="61" spans="1:12">
      <c r="A61" s="7">
        <v>43832</v>
      </c>
      <c r="B61" s="7">
        <v>43840</v>
      </c>
      <c r="C61" s="8" t="s">
        <v>73</v>
      </c>
      <c r="D61" s="8">
        <v>23599</v>
      </c>
      <c r="E61" s="8"/>
      <c r="F61" s="8"/>
      <c r="G61" s="8" t="s">
        <v>9</v>
      </c>
      <c r="H61" s="4"/>
      <c r="I61" s="8">
        <v>1875</v>
      </c>
      <c r="J61" s="9"/>
      <c r="K61" s="5"/>
      <c r="L61" s="12" t="s">
        <v>15</v>
      </c>
    </row>
    <row r="62" spans="1:12">
      <c r="A62" s="7">
        <v>43836</v>
      </c>
      <c r="B62" s="7">
        <v>43846</v>
      </c>
      <c r="C62" s="8" t="s">
        <v>74</v>
      </c>
      <c r="D62" s="8">
        <v>3577</v>
      </c>
      <c r="E62" s="8"/>
      <c r="F62" s="8"/>
      <c r="G62" s="8" t="s">
        <v>9</v>
      </c>
      <c r="H62" s="4"/>
      <c r="I62" s="8">
        <v>3125</v>
      </c>
      <c r="J62" s="9"/>
      <c r="K62" s="5"/>
      <c r="L62" s="12" t="s">
        <v>15</v>
      </c>
    </row>
    <row r="63" spans="1:12">
      <c r="A63" s="7">
        <v>43836</v>
      </c>
      <c r="B63" s="7">
        <v>43856</v>
      </c>
      <c r="C63" s="8" t="s">
        <v>70</v>
      </c>
      <c r="D63" s="8">
        <v>1496348</v>
      </c>
      <c r="E63" s="8"/>
      <c r="F63" s="8"/>
      <c r="G63" s="8" t="s">
        <v>14</v>
      </c>
      <c r="H63" s="4"/>
      <c r="I63" s="8">
        <v>10080</v>
      </c>
      <c r="J63" s="9"/>
      <c r="K63" s="5"/>
      <c r="L63" s="12" t="s">
        <v>15</v>
      </c>
    </row>
    <row r="64" spans="1:12">
      <c r="A64" s="7">
        <v>43830</v>
      </c>
      <c r="B64" s="7">
        <v>43835</v>
      </c>
      <c r="C64" s="8" t="s">
        <v>49</v>
      </c>
      <c r="D64" s="8">
        <v>4468482</v>
      </c>
      <c r="E64" s="8"/>
      <c r="F64" s="8"/>
      <c r="G64" s="8" t="s">
        <v>9</v>
      </c>
      <c r="H64" s="4"/>
      <c r="I64" s="8">
        <v>660</v>
      </c>
      <c r="J64" s="9"/>
      <c r="K64" s="5"/>
      <c r="L64" s="12" t="s">
        <v>15</v>
      </c>
    </row>
    <row r="65" spans="1:12">
      <c r="A65" s="7">
        <v>43827</v>
      </c>
      <c r="B65" s="7">
        <v>43832</v>
      </c>
      <c r="C65" s="8" t="s">
        <v>75</v>
      </c>
      <c r="D65" s="8">
        <v>4468014</v>
      </c>
      <c r="E65" s="8"/>
      <c r="F65" s="8"/>
      <c r="G65" s="8" t="s">
        <v>9</v>
      </c>
      <c r="H65" s="4"/>
      <c r="I65" s="8">
        <v>767.13</v>
      </c>
      <c r="J65" s="9"/>
      <c r="K65" s="5"/>
      <c r="L65" s="12" t="s">
        <v>15</v>
      </c>
    </row>
    <row r="66" spans="1:12">
      <c r="A66" s="7">
        <v>43830</v>
      </c>
      <c r="B66" s="7">
        <v>43844</v>
      </c>
      <c r="C66" s="8" t="s">
        <v>59</v>
      </c>
      <c r="D66" s="8">
        <v>1238196</v>
      </c>
      <c r="E66" s="8"/>
      <c r="F66" s="8"/>
      <c r="G66" s="8" t="s">
        <v>39</v>
      </c>
      <c r="H66" s="4"/>
      <c r="I66" s="8">
        <v>13246</v>
      </c>
      <c r="J66" s="9"/>
      <c r="K66" s="5"/>
      <c r="L66" s="12" t="s">
        <v>15</v>
      </c>
    </row>
    <row r="67" spans="1:12">
      <c r="A67" s="7">
        <v>43837</v>
      </c>
      <c r="B67" s="7">
        <v>43857</v>
      </c>
      <c r="C67" s="8" t="s">
        <v>59</v>
      </c>
      <c r="D67" s="8">
        <v>1496941</v>
      </c>
      <c r="E67" s="8"/>
      <c r="F67" s="8"/>
      <c r="G67" s="8" t="s">
        <v>39</v>
      </c>
      <c r="H67" s="4"/>
      <c r="I67" s="8">
        <v>1575</v>
      </c>
      <c r="J67" s="9"/>
      <c r="K67" s="5"/>
      <c r="L67" s="12" t="s">
        <v>15</v>
      </c>
    </row>
    <row r="68" spans="1:12">
      <c r="A68" s="7">
        <v>43830</v>
      </c>
      <c r="B68" s="7">
        <v>43876</v>
      </c>
      <c r="C68" s="8" t="s">
        <v>36</v>
      </c>
      <c r="D68" s="8">
        <v>1091814</v>
      </c>
      <c r="E68" s="8"/>
      <c r="F68" s="8"/>
      <c r="G68" s="8" t="s">
        <v>15</v>
      </c>
      <c r="H68" s="4"/>
      <c r="I68" s="8">
        <v>224.24</v>
      </c>
      <c r="J68" s="9"/>
      <c r="K68" s="5"/>
      <c r="L68" s="12" t="s">
        <v>15</v>
      </c>
    </row>
    <row r="69" spans="1:12">
      <c r="A69" s="7">
        <v>43830</v>
      </c>
      <c r="B69" s="7">
        <v>43876</v>
      </c>
      <c r="C69" s="8" t="s">
        <v>36</v>
      </c>
      <c r="D69" s="8">
        <v>1091815</v>
      </c>
      <c r="E69" s="8"/>
      <c r="F69" s="8"/>
      <c r="G69" s="8" t="s">
        <v>15</v>
      </c>
      <c r="H69" s="4"/>
      <c r="I69" s="8">
        <v>270.70999999999998</v>
      </c>
      <c r="J69" s="9"/>
      <c r="K69" s="5"/>
      <c r="L69" s="12" t="s">
        <v>15</v>
      </c>
    </row>
    <row r="70" spans="1:12">
      <c r="A70" s="7">
        <v>43830</v>
      </c>
      <c r="B70" s="7">
        <v>43860</v>
      </c>
      <c r="C70" s="8" t="s">
        <v>12</v>
      </c>
      <c r="D70" s="10" t="s">
        <v>76</v>
      </c>
      <c r="E70" s="11"/>
      <c r="F70" s="8"/>
      <c r="G70" s="8" t="s">
        <v>42</v>
      </c>
      <c r="H70" s="4"/>
      <c r="I70" s="9">
        <v>12710.79</v>
      </c>
      <c r="J70" s="9"/>
      <c r="K70" s="5"/>
      <c r="L70" s="12" t="s">
        <v>15</v>
      </c>
    </row>
    <row r="71" spans="1:12">
      <c r="A71" s="7">
        <v>43832</v>
      </c>
      <c r="B71" s="7">
        <v>43872</v>
      </c>
      <c r="C71" s="8" t="s">
        <v>25</v>
      </c>
      <c r="D71" s="8" t="s">
        <v>77</v>
      </c>
      <c r="E71" s="8"/>
      <c r="F71" s="8"/>
      <c r="G71" s="8" t="s">
        <v>42</v>
      </c>
      <c r="H71" s="4"/>
      <c r="I71" s="9"/>
      <c r="J71" s="8">
        <v>6614.78</v>
      </c>
      <c r="K71" s="5"/>
      <c r="L71" s="12" t="s">
        <v>15</v>
      </c>
    </row>
    <row r="72" spans="1:12">
      <c r="A72" s="7">
        <v>43832</v>
      </c>
      <c r="B72" s="7">
        <v>43872</v>
      </c>
      <c r="C72" s="8" t="s">
        <v>59</v>
      </c>
      <c r="D72" s="8" t="s">
        <v>78</v>
      </c>
      <c r="E72" s="8"/>
      <c r="F72" s="8"/>
      <c r="G72" s="8" t="s">
        <v>42</v>
      </c>
      <c r="H72" s="4"/>
      <c r="I72" s="9"/>
      <c r="J72" s="8">
        <v>539.34</v>
      </c>
      <c r="K72" s="5"/>
      <c r="L72" s="12" t="s">
        <v>15</v>
      </c>
    </row>
    <row r="73" spans="1:12">
      <c r="A73" s="7">
        <v>43832</v>
      </c>
      <c r="B73" s="7">
        <v>43872</v>
      </c>
      <c r="C73" s="8" t="s">
        <v>59</v>
      </c>
      <c r="D73" s="8" t="s">
        <v>79</v>
      </c>
      <c r="E73" s="8"/>
      <c r="F73" s="8"/>
      <c r="G73" s="8" t="s">
        <v>42</v>
      </c>
      <c r="H73" s="4"/>
      <c r="I73" s="9"/>
      <c r="J73" s="8">
        <v>483.59</v>
      </c>
      <c r="K73" s="5"/>
      <c r="L73" s="12" t="s">
        <v>15</v>
      </c>
    </row>
    <row r="74" spans="1:12">
      <c r="A74" s="7">
        <v>43832</v>
      </c>
      <c r="B74" s="7">
        <v>43872</v>
      </c>
      <c r="C74" s="8" t="s">
        <v>59</v>
      </c>
      <c r="D74" s="8" t="s">
        <v>80</v>
      </c>
      <c r="E74" s="8"/>
      <c r="F74" s="8"/>
      <c r="G74" s="8" t="s">
        <v>42</v>
      </c>
      <c r="H74" s="4"/>
      <c r="I74" s="9"/>
      <c r="J74" s="8">
        <v>644.79</v>
      </c>
      <c r="K74" s="5"/>
      <c r="L74" s="12" t="s">
        <v>15</v>
      </c>
    </row>
    <row r="75" spans="1:12">
      <c r="A75" s="7">
        <v>43832</v>
      </c>
      <c r="B75" s="7">
        <v>43872</v>
      </c>
      <c r="C75" s="8" t="s">
        <v>25</v>
      </c>
      <c r="D75" s="8" t="s">
        <v>81</v>
      </c>
      <c r="E75" s="8"/>
      <c r="F75" s="8"/>
      <c r="G75" s="8" t="s">
        <v>42</v>
      </c>
      <c r="H75" s="4"/>
      <c r="I75" s="9"/>
      <c r="J75" s="8">
        <v>8067.6</v>
      </c>
      <c r="K75" s="5"/>
      <c r="L75" s="12" t="s">
        <v>15</v>
      </c>
    </row>
    <row r="76" spans="1:12">
      <c r="A76" s="7">
        <v>43832</v>
      </c>
      <c r="B76" s="7">
        <v>43872</v>
      </c>
      <c r="C76" s="8" t="s">
        <v>25</v>
      </c>
      <c r="D76" s="8" t="s">
        <v>82</v>
      </c>
      <c r="E76" s="8"/>
      <c r="F76" s="8"/>
      <c r="G76" s="8" t="s">
        <v>42</v>
      </c>
      <c r="H76" s="4"/>
      <c r="I76" s="9"/>
      <c r="J76" s="8">
        <v>1075.68</v>
      </c>
      <c r="K76" s="5"/>
      <c r="L76" s="12" t="s">
        <v>15</v>
      </c>
    </row>
    <row r="77" spans="1:12">
      <c r="A77" s="7">
        <v>43832</v>
      </c>
      <c r="B77" s="7">
        <v>43872</v>
      </c>
      <c r="C77" s="8" t="s">
        <v>59</v>
      </c>
      <c r="D77" s="8" t="s">
        <v>83</v>
      </c>
      <c r="E77" s="8"/>
      <c r="F77" s="8"/>
      <c r="G77" s="8" t="s">
        <v>42</v>
      </c>
      <c r="H77" s="4"/>
      <c r="I77" s="9"/>
      <c r="J77" s="8">
        <v>1613.52</v>
      </c>
      <c r="K77" s="5"/>
      <c r="L77" s="12" t="s">
        <v>15</v>
      </c>
    </row>
    <row r="78" spans="1:12">
      <c r="A78" s="7">
        <v>43830</v>
      </c>
      <c r="B78" s="7">
        <v>43860</v>
      </c>
      <c r="C78" s="8" t="s">
        <v>12</v>
      </c>
      <c r="D78" s="10" t="s">
        <v>84</v>
      </c>
      <c r="E78" s="8"/>
      <c r="F78" s="8"/>
      <c r="G78" s="8" t="s">
        <v>42</v>
      </c>
      <c r="H78" s="4"/>
      <c r="I78" s="8">
        <v>23229.98</v>
      </c>
      <c r="J78" s="9"/>
      <c r="K78" s="5"/>
      <c r="L78" s="12" t="s">
        <v>15</v>
      </c>
    </row>
    <row r="79" spans="1:12">
      <c r="A79" s="7">
        <v>43830</v>
      </c>
      <c r="B79" s="7">
        <v>43860</v>
      </c>
      <c r="C79" s="8" t="s">
        <v>12</v>
      </c>
      <c r="D79" s="10" t="s">
        <v>85</v>
      </c>
      <c r="E79" s="11"/>
      <c r="F79" s="8"/>
      <c r="G79" s="8" t="s">
        <v>42</v>
      </c>
      <c r="H79" s="4"/>
      <c r="I79" s="8">
        <v>1715.63</v>
      </c>
      <c r="J79" s="9"/>
      <c r="K79" s="5"/>
      <c r="L79" s="12" t="s">
        <v>15</v>
      </c>
    </row>
    <row r="80" spans="1:12">
      <c r="A80" s="21">
        <v>43836</v>
      </c>
      <c r="B80" s="21">
        <v>43891</v>
      </c>
      <c r="C80" s="9" t="s">
        <v>12</v>
      </c>
      <c r="D80" s="22" t="s">
        <v>86</v>
      </c>
      <c r="E80" s="9">
        <v>1268.75</v>
      </c>
      <c r="F80" s="9"/>
      <c r="G80" s="9" t="s">
        <v>14</v>
      </c>
      <c r="H80" s="4"/>
      <c r="I80" s="9"/>
      <c r="J80" s="9"/>
      <c r="K80" s="5"/>
      <c r="L80" s="6"/>
    </row>
    <row r="81" spans="1:12">
      <c r="A81" s="7">
        <v>43838</v>
      </c>
      <c r="B81" s="7">
        <v>43858</v>
      </c>
      <c r="C81" s="8" t="s">
        <v>70</v>
      </c>
      <c r="D81" s="8">
        <v>1497351</v>
      </c>
      <c r="E81" s="8"/>
      <c r="F81" s="8"/>
      <c r="G81" s="8" t="s">
        <v>42</v>
      </c>
      <c r="H81" s="4"/>
      <c r="I81" s="8">
        <v>2280</v>
      </c>
      <c r="J81" s="9"/>
      <c r="K81" s="5"/>
      <c r="L81" s="12" t="s">
        <v>15</v>
      </c>
    </row>
    <row r="82" spans="1:12">
      <c r="A82" s="7">
        <v>43838</v>
      </c>
      <c r="B82" s="7">
        <v>43858</v>
      </c>
      <c r="C82" s="8" t="s">
        <v>70</v>
      </c>
      <c r="D82" s="8">
        <v>1497352</v>
      </c>
      <c r="E82" s="8"/>
      <c r="F82" s="8"/>
      <c r="G82" s="8" t="s">
        <v>42</v>
      </c>
      <c r="H82" s="4"/>
      <c r="I82" s="8">
        <v>570</v>
      </c>
      <c r="J82" s="9"/>
      <c r="K82" s="5"/>
      <c r="L82" s="12" t="s">
        <v>15</v>
      </c>
    </row>
    <row r="83" spans="1:12">
      <c r="A83" s="7">
        <v>43838</v>
      </c>
      <c r="B83" s="7">
        <v>43858</v>
      </c>
      <c r="C83" s="8" t="s">
        <v>70</v>
      </c>
      <c r="D83" s="8">
        <v>1497350</v>
      </c>
      <c r="E83" s="8"/>
      <c r="F83" s="8"/>
      <c r="G83" s="8" t="s">
        <v>42</v>
      </c>
      <c r="H83" s="4"/>
      <c r="I83" s="8">
        <v>570</v>
      </c>
      <c r="J83" s="9"/>
      <c r="K83" s="5"/>
      <c r="L83" s="12" t="s">
        <v>15</v>
      </c>
    </row>
    <row r="84" spans="1:12">
      <c r="A84" s="7">
        <v>43838</v>
      </c>
      <c r="B84" s="7">
        <v>43858</v>
      </c>
      <c r="C84" s="8" t="s">
        <v>70</v>
      </c>
      <c r="D84" s="8">
        <v>1497346</v>
      </c>
      <c r="E84" s="8"/>
      <c r="F84" s="8"/>
      <c r="G84" s="8" t="s">
        <v>42</v>
      </c>
      <c r="H84" s="4"/>
      <c r="I84" s="8">
        <v>3613.8</v>
      </c>
      <c r="J84" s="9"/>
      <c r="K84" s="5"/>
      <c r="L84" s="12" t="s">
        <v>15</v>
      </c>
    </row>
    <row r="85" spans="1:12">
      <c r="A85" s="7">
        <v>43838</v>
      </c>
      <c r="B85" s="7">
        <v>43858</v>
      </c>
      <c r="C85" s="8" t="s">
        <v>70</v>
      </c>
      <c r="D85" s="8">
        <v>1497348</v>
      </c>
      <c r="E85" s="8"/>
      <c r="F85" s="8"/>
      <c r="G85" s="8" t="s">
        <v>42</v>
      </c>
      <c r="H85" s="4"/>
      <c r="I85" s="8">
        <v>570</v>
      </c>
      <c r="J85" s="9"/>
      <c r="K85" s="5"/>
      <c r="L85" s="12" t="s">
        <v>15</v>
      </c>
    </row>
    <row r="86" spans="1:12">
      <c r="A86" s="7">
        <v>43838</v>
      </c>
      <c r="B86" s="7">
        <v>43858</v>
      </c>
      <c r="C86" s="8" t="s">
        <v>70</v>
      </c>
      <c r="D86" s="8">
        <v>1497347</v>
      </c>
      <c r="E86" s="8"/>
      <c r="F86" s="8"/>
      <c r="G86" s="8" t="s">
        <v>87</v>
      </c>
      <c r="H86" s="4"/>
      <c r="I86" s="8">
        <v>570</v>
      </c>
      <c r="J86" s="9"/>
      <c r="K86" s="5"/>
      <c r="L86" s="12" t="s">
        <v>15</v>
      </c>
    </row>
    <row r="87" spans="1:12">
      <c r="A87" s="7">
        <v>43838</v>
      </c>
      <c r="B87" s="7">
        <v>43858</v>
      </c>
      <c r="C87" s="8" t="s">
        <v>70</v>
      </c>
      <c r="D87" s="8">
        <v>1497349</v>
      </c>
      <c r="E87" s="8"/>
      <c r="F87" s="8"/>
      <c r="G87" s="8" t="s">
        <v>87</v>
      </c>
      <c r="H87" s="4"/>
      <c r="I87" s="8">
        <v>1710</v>
      </c>
      <c r="J87" s="9"/>
      <c r="K87" s="5"/>
      <c r="L87" s="12" t="s">
        <v>15</v>
      </c>
    </row>
    <row r="88" spans="1:12">
      <c r="A88" s="7">
        <v>43838</v>
      </c>
      <c r="B88" s="7">
        <v>43891</v>
      </c>
      <c r="C88" s="8" t="s">
        <v>12</v>
      </c>
      <c r="D88" s="10" t="s">
        <v>88</v>
      </c>
      <c r="E88" s="11"/>
      <c r="F88" s="8"/>
      <c r="G88" s="8" t="s">
        <v>9</v>
      </c>
      <c r="H88" s="4"/>
      <c r="I88" s="8">
        <v>1175</v>
      </c>
      <c r="J88" s="9"/>
      <c r="K88" s="5"/>
      <c r="L88" s="12" t="s">
        <v>15</v>
      </c>
    </row>
    <row r="89" spans="1:12">
      <c r="A89" s="7">
        <v>43838</v>
      </c>
      <c r="B89" s="7">
        <v>43891</v>
      </c>
      <c r="C89" s="8" t="s">
        <v>12</v>
      </c>
      <c r="D89" s="23" t="s">
        <v>89</v>
      </c>
      <c r="E89" s="8"/>
      <c r="F89" s="8"/>
      <c r="G89" s="8" t="s">
        <v>42</v>
      </c>
      <c r="H89" s="4"/>
      <c r="I89" s="8">
        <v>2812.5</v>
      </c>
      <c r="J89" s="9"/>
      <c r="K89" s="5"/>
      <c r="L89" s="12" t="s">
        <v>15</v>
      </c>
    </row>
    <row r="90" spans="1:12">
      <c r="A90" s="7">
        <v>43836</v>
      </c>
      <c r="B90" s="7">
        <v>43891</v>
      </c>
      <c r="C90" s="8" t="s">
        <v>12</v>
      </c>
      <c r="D90" s="10" t="s">
        <v>90</v>
      </c>
      <c r="E90" s="8"/>
      <c r="F90" s="8"/>
      <c r="G90" s="8" t="s">
        <v>42</v>
      </c>
      <c r="H90" s="4"/>
      <c r="I90" s="8">
        <v>5906.25</v>
      </c>
      <c r="J90" s="9"/>
      <c r="K90" s="5"/>
      <c r="L90" s="12" t="s">
        <v>15</v>
      </c>
    </row>
    <row r="91" spans="1:12">
      <c r="A91" s="21">
        <v>43836</v>
      </c>
      <c r="B91" s="21">
        <v>43867</v>
      </c>
      <c r="C91" s="9" t="s">
        <v>31</v>
      </c>
      <c r="D91" s="22" t="s">
        <v>91</v>
      </c>
      <c r="E91" s="9"/>
      <c r="F91" s="9">
        <v>11231.91</v>
      </c>
      <c r="G91" s="9" t="s">
        <v>42</v>
      </c>
      <c r="H91" s="4"/>
      <c r="I91" s="9"/>
      <c r="J91" s="9"/>
      <c r="K91" s="5"/>
      <c r="L91" s="6"/>
    </row>
    <row r="92" spans="1:12">
      <c r="A92" s="7">
        <v>43828</v>
      </c>
      <c r="B92" s="7">
        <v>43836</v>
      </c>
      <c r="C92" s="8" t="s">
        <v>92</v>
      </c>
      <c r="D92" s="8">
        <v>13145</v>
      </c>
      <c r="E92" s="11"/>
      <c r="F92" s="8"/>
      <c r="G92" s="8" t="s">
        <v>9</v>
      </c>
      <c r="H92" s="4"/>
      <c r="I92" s="8">
        <v>647.5</v>
      </c>
      <c r="J92" s="9"/>
      <c r="K92" s="5"/>
      <c r="L92" s="12" t="s">
        <v>15</v>
      </c>
    </row>
    <row r="93" spans="1:12">
      <c r="A93" s="7">
        <v>43838</v>
      </c>
      <c r="B93" s="7">
        <v>43845</v>
      </c>
      <c r="C93" s="8" t="s">
        <v>33</v>
      </c>
      <c r="D93" s="8">
        <v>56794414</v>
      </c>
      <c r="E93" s="8"/>
      <c r="F93" s="8"/>
      <c r="G93" s="8" t="s">
        <v>42</v>
      </c>
      <c r="H93" s="4"/>
      <c r="I93" s="8">
        <v>790.49</v>
      </c>
      <c r="J93" s="9"/>
      <c r="K93" s="5"/>
      <c r="L93" s="12" t="s">
        <v>15</v>
      </c>
    </row>
    <row r="94" spans="1:12">
      <c r="A94" s="7">
        <v>43838</v>
      </c>
      <c r="B94" s="7">
        <v>43869</v>
      </c>
      <c r="C94" s="8" t="s">
        <v>54</v>
      </c>
      <c r="D94" s="8" t="s">
        <v>93</v>
      </c>
      <c r="E94" s="8"/>
      <c r="F94" s="11"/>
      <c r="G94" s="8" t="s">
        <v>42</v>
      </c>
      <c r="H94" s="4"/>
      <c r="I94" s="9"/>
      <c r="J94" s="8">
        <v>1000</v>
      </c>
      <c r="K94" s="5"/>
      <c r="L94" s="12" t="s">
        <v>15</v>
      </c>
    </row>
    <row r="95" spans="1:12">
      <c r="A95" s="7">
        <v>43822</v>
      </c>
      <c r="B95" s="7">
        <v>43836</v>
      </c>
      <c r="C95" s="8" t="s">
        <v>38</v>
      </c>
      <c r="D95" s="8">
        <v>60990</v>
      </c>
      <c r="E95" s="8"/>
      <c r="F95" s="8"/>
      <c r="G95" s="8" t="s">
        <v>39</v>
      </c>
      <c r="H95" s="4"/>
      <c r="I95" s="8">
        <v>848.29</v>
      </c>
      <c r="J95" s="9"/>
      <c r="K95" s="5"/>
      <c r="L95" s="12" t="s">
        <v>15</v>
      </c>
    </row>
    <row r="96" spans="1:12">
      <c r="A96" s="7">
        <v>43815</v>
      </c>
      <c r="B96" s="7">
        <v>43850</v>
      </c>
      <c r="C96" s="8" t="s">
        <v>94</v>
      </c>
      <c r="D96" s="10" t="s">
        <v>95</v>
      </c>
      <c r="E96" s="8"/>
      <c r="F96" s="8"/>
      <c r="G96" s="8" t="s">
        <v>14</v>
      </c>
      <c r="H96" s="4"/>
      <c r="I96" s="9"/>
      <c r="J96" s="8">
        <v>17081.400000000001</v>
      </c>
      <c r="K96" s="5"/>
      <c r="L96" s="12" t="s">
        <v>15</v>
      </c>
    </row>
    <row r="97" spans="1:12">
      <c r="A97" s="7">
        <v>43839</v>
      </c>
      <c r="B97" s="7">
        <v>43844</v>
      </c>
      <c r="C97" s="8" t="s">
        <v>49</v>
      </c>
      <c r="D97" s="8">
        <v>4474085</v>
      </c>
      <c r="E97" s="11"/>
      <c r="F97" s="8"/>
      <c r="G97" s="8" t="s">
        <v>9</v>
      </c>
      <c r="H97" s="4"/>
      <c r="I97" s="8">
        <v>1575.05</v>
      </c>
      <c r="J97" s="9"/>
      <c r="K97" s="5"/>
      <c r="L97" s="12" t="s">
        <v>15</v>
      </c>
    </row>
    <row r="98" spans="1:12">
      <c r="A98" s="7">
        <v>43818</v>
      </c>
      <c r="B98" s="7">
        <v>43850</v>
      </c>
      <c r="C98" s="8" t="s">
        <v>94</v>
      </c>
      <c r="D98" s="10" t="s">
        <v>96</v>
      </c>
      <c r="E98" s="8"/>
      <c r="F98" s="8"/>
      <c r="G98" s="8" t="s">
        <v>14</v>
      </c>
      <c r="H98" s="4"/>
      <c r="I98" s="9"/>
      <c r="J98" s="8">
        <v>31987.200000000001</v>
      </c>
      <c r="K98" s="5"/>
      <c r="L98" s="12" t="s">
        <v>15</v>
      </c>
    </row>
    <row r="99" spans="1:12">
      <c r="A99" s="7">
        <v>43839</v>
      </c>
      <c r="B99" s="7">
        <v>43846</v>
      </c>
      <c r="C99" s="8" t="s">
        <v>33</v>
      </c>
      <c r="D99" s="8">
        <v>56795367</v>
      </c>
      <c r="E99" s="8"/>
      <c r="F99" s="8"/>
      <c r="G99" s="8" t="s">
        <v>42</v>
      </c>
      <c r="H99" s="4"/>
      <c r="I99" s="8">
        <v>155.35</v>
      </c>
      <c r="J99" s="9"/>
      <c r="K99" s="5"/>
      <c r="L99" s="12" t="s">
        <v>15</v>
      </c>
    </row>
    <row r="100" spans="1:12">
      <c r="A100" s="7">
        <v>43839</v>
      </c>
      <c r="B100" s="7">
        <v>43847</v>
      </c>
      <c r="C100" s="8" t="s">
        <v>40</v>
      </c>
      <c r="D100" s="8">
        <v>852232</v>
      </c>
      <c r="E100" s="8"/>
      <c r="F100" s="8"/>
      <c r="G100" s="8" t="s">
        <v>15</v>
      </c>
      <c r="H100" s="4"/>
      <c r="I100" s="8">
        <v>2410.8000000000002</v>
      </c>
      <c r="J100" s="9"/>
      <c r="K100" s="5"/>
      <c r="L100" s="12" t="s">
        <v>15</v>
      </c>
    </row>
    <row r="101" spans="1:12">
      <c r="A101" s="7">
        <v>43839</v>
      </c>
      <c r="B101" s="7">
        <v>43847</v>
      </c>
      <c r="C101" s="8" t="s">
        <v>40</v>
      </c>
      <c r="D101" s="8">
        <v>852231</v>
      </c>
      <c r="E101" s="8"/>
      <c r="F101" s="8"/>
      <c r="G101" s="8" t="s">
        <v>15</v>
      </c>
      <c r="H101" s="4"/>
      <c r="I101" s="8">
        <v>2425.5</v>
      </c>
      <c r="J101" s="9"/>
      <c r="K101" s="5"/>
      <c r="L101" s="12" t="s">
        <v>15</v>
      </c>
    </row>
    <row r="102" spans="1:12">
      <c r="A102" s="7">
        <v>43839</v>
      </c>
      <c r="B102" s="7">
        <v>43891</v>
      </c>
      <c r="C102" s="8" t="s">
        <v>12</v>
      </c>
      <c r="D102" s="10" t="s">
        <v>97</v>
      </c>
      <c r="E102" s="8"/>
      <c r="F102" s="8"/>
      <c r="G102" s="8" t="s">
        <v>42</v>
      </c>
      <c r="H102" s="4"/>
      <c r="I102" s="8">
        <v>24058.6</v>
      </c>
      <c r="J102" s="9"/>
      <c r="K102" s="5"/>
      <c r="L102" s="12" t="s">
        <v>15</v>
      </c>
    </row>
    <row r="103" spans="1:12">
      <c r="A103" s="7">
        <v>43839</v>
      </c>
      <c r="B103" s="7">
        <v>43853</v>
      </c>
      <c r="C103" s="8" t="s">
        <v>98</v>
      </c>
      <c r="D103" s="8">
        <v>1238213</v>
      </c>
      <c r="E103" s="8"/>
      <c r="F103" s="8"/>
      <c r="G103" s="8" t="s">
        <v>39</v>
      </c>
      <c r="H103" s="4"/>
      <c r="I103" s="8">
        <v>2192.75</v>
      </c>
      <c r="J103" s="9"/>
      <c r="K103" s="5"/>
      <c r="L103" s="12" t="s">
        <v>15</v>
      </c>
    </row>
    <row r="104" spans="1:12">
      <c r="A104" s="7">
        <v>43839</v>
      </c>
      <c r="B104" s="7">
        <v>43853</v>
      </c>
      <c r="C104" s="8" t="s">
        <v>98</v>
      </c>
      <c r="D104" s="8">
        <v>1238212</v>
      </c>
      <c r="E104" s="11"/>
      <c r="F104" s="8"/>
      <c r="G104" s="8" t="s">
        <v>39</v>
      </c>
      <c r="H104" s="4"/>
      <c r="I104" s="8">
        <v>40235</v>
      </c>
      <c r="J104" s="9"/>
      <c r="K104" s="5"/>
      <c r="L104" s="12" t="s">
        <v>15</v>
      </c>
    </row>
    <row r="105" spans="1:12">
      <c r="A105" s="7">
        <v>43839</v>
      </c>
      <c r="B105" s="7">
        <v>43846</v>
      </c>
      <c r="C105" s="8" t="s">
        <v>59</v>
      </c>
      <c r="D105" s="8">
        <v>105246</v>
      </c>
      <c r="E105" s="8"/>
      <c r="F105" s="8"/>
      <c r="G105" s="8" t="s">
        <v>39</v>
      </c>
      <c r="H105" s="4"/>
      <c r="I105" s="8">
        <v>1901.25</v>
      </c>
      <c r="J105" s="9"/>
      <c r="K105" s="5"/>
      <c r="L105" s="12" t="s">
        <v>15</v>
      </c>
    </row>
    <row r="106" spans="1:12">
      <c r="A106" s="7">
        <v>43830</v>
      </c>
      <c r="B106" s="7">
        <v>43860</v>
      </c>
      <c r="C106" s="8" t="s">
        <v>12</v>
      </c>
      <c r="D106" s="10" t="s">
        <v>99</v>
      </c>
      <c r="E106" s="8"/>
      <c r="F106" s="8"/>
      <c r="G106" s="8" t="s">
        <v>14</v>
      </c>
      <c r="H106" s="4"/>
      <c r="I106" s="8">
        <v>7500</v>
      </c>
      <c r="J106" s="9"/>
      <c r="K106" s="5"/>
      <c r="L106" s="12" t="s">
        <v>15</v>
      </c>
    </row>
    <row r="107" spans="1:12">
      <c r="A107" s="7">
        <v>43839</v>
      </c>
      <c r="B107" s="7">
        <v>43859</v>
      </c>
      <c r="C107" s="8" t="s">
        <v>70</v>
      </c>
      <c r="D107" s="8">
        <v>1497470</v>
      </c>
      <c r="E107" s="8"/>
      <c r="F107" s="8"/>
      <c r="G107" s="8" t="s">
        <v>14</v>
      </c>
      <c r="H107" s="4"/>
      <c r="I107" s="8">
        <v>3780</v>
      </c>
      <c r="J107" s="9"/>
      <c r="K107" s="5"/>
      <c r="L107" s="12" t="s">
        <v>15</v>
      </c>
    </row>
    <row r="108" spans="1:12">
      <c r="A108" s="7">
        <v>43830</v>
      </c>
      <c r="B108" s="8" t="s">
        <v>35</v>
      </c>
      <c r="C108" s="8" t="s">
        <v>36</v>
      </c>
      <c r="D108" s="8">
        <v>1074418</v>
      </c>
      <c r="E108" s="8"/>
      <c r="F108" s="8"/>
      <c r="G108" s="8" t="s">
        <v>42</v>
      </c>
      <c r="H108" s="4"/>
      <c r="I108" s="8">
        <v>78726.429999999993</v>
      </c>
      <c r="J108" s="9"/>
      <c r="K108" s="5"/>
      <c r="L108" s="12" t="s">
        <v>15</v>
      </c>
    </row>
    <row r="109" spans="1:12">
      <c r="A109" s="7">
        <v>43819</v>
      </c>
      <c r="B109" s="7">
        <v>43849</v>
      </c>
      <c r="C109" s="8" t="s">
        <v>59</v>
      </c>
      <c r="D109" s="8">
        <v>1737</v>
      </c>
      <c r="E109" s="8"/>
      <c r="F109" s="8"/>
      <c r="G109" s="8" t="s">
        <v>9</v>
      </c>
      <c r="H109" s="4"/>
      <c r="I109" s="9"/>
      <c r="J109" s="8">
        <v>64790</v>
      </c>
      <c r="K109" s="5"/>
      <c r="L109" s="12" t="s">
        <v>15</v>
      </c>
    </row>
    <row r="110" spans="1:12">
      <c r="A110" s="7">
        <v>43839</v>
      </c>
      <c r="B110" s="7">
        <v>43905</v>
      </c>
      <c r="C110" s="8" t="s">
        <v>36</v>
      </c>
      <c r="D110" s="8">
        <v>1092498</v>
      </c>
      <c r="E110" s="8"/>
      <c r="F110" s="8"/>
      <c r="G110" s="8" t="s">
        <v>15</v>
      </c>
      <c r="H110" s="4"/>
      <c r="I110" s="8">
        <v>139.41</v>
      </c>
      <c r="J110" s="9"/>
      <c r="K110" s="5"/>
      <c r="L110" s="12" t="s">
        <v>15</v>
      </c>
    </row>
    <row r="111" spans="1:12">
      <c r="A111" s="7">
        <v>43836</v>
      </c>
      <c r="B111" s="7">
        <v>43850</v>
      </c>
      <c r="C111" s="8" t="s">
        <v>28</v>
      </c>
      <c r="D111" s="8">
        <v>30914</v>
      </c>
      <c r="E111" s="11"/>
      <c r="F111" s="8"/>
      <c r="G111" s="8" t="s">
        <v>9</v>
      </c>
      <c r="H111" s="4"/>
      <c r="I111" s="8">
        <v>2412.5</v>
      </c>
      <c r="J111" s="9"/>
      <c r="K111" s="5"/>
      <c r="L111" s="12" t="s">
        <v>15</v>
      </c>
    </row>
    <row r="112" spans="1:12">
      <c r="A112" s="7">
        <v>43839</v>
      </c>
      <c r="B112" s="7">
        <v>43879</v>
      </c>
      <c r="C112" s="8" t="s">
        <v>25</v>
      </c>
      <c r="D112" s="8" t="s">
        <v>100</v>
      </c>
      <c r="E112" s="8"/>
      <c r="F112" s="8"/>
      <c r="G112" s="8" t="s">
        <v>42</v>
      </c>
      <c r="H112" s="4"/>
      <c r="I112" s="9"/>
      <c r="J112" s="8">
        <v>1344.6</v>
      </c>
      <c r="K112" s="5"/>
      <c r="L112" s="12" t="s">
        <v>15</v>
      </c>
    </row>
    <row r="113" spans="1:12">
      <c r="A113" s="7">
        <v>43839</v>
      </c>
      <c r="B113" s="7">
        <v>43879</v>
      </c>
      <c r="C113" s="8" t="s">
        <v>25</v>
      </c>
      <c r="D113" s="8" t="s">
        <v>101</v>
      </c>
      <c r="E113" s="8"/>
      <c r="F113" s="8"/>
      <c r="G113" s="8" t="s">
        <v>42</v>
      </c>
      <c r="H113" s="4"/>
      <c r="I113" s="9"/>
      <c r="J113" s="8">
        <v>1882.44</v>
      </c>
      <c r="K113" s="5"/>
      <c r="L113" s="12" t="s">
        <v>15</v>
      </c>
    </row>
    <row r="114" spans="1:12">
      <c r="A114" s="7">
        <v>43839</v>
      </c>
      <c r="B114" s="7">
        <v>43879</v>
      </c>
      <c r="C114" s="8" t="s">
        <v>59</v>
      </c>
      <c r="D114" s="8" t="s">
        <v>102</v>
      </c>
      <c r="E114" s="8"/>
      <c r="F114" s="8"/>
      <c r="G114" s="8" t="s">
        <v>42</v>
      </c>
      <c r="H114" s="4"/>
      <c r="I114" s="9"/>
      <c r="J114" s="8">
        <v>5109.4799999999996</v>
      </c>
      <c r="K114" s="5"/>
      <c r="L114" s="12" t="s">
        <v>15</v>
      </c>
    </row>
    <row r="115" spans="1:12">
      <c r="A115" s="7">
        <v>43839</v>
      </c>
      <c r="B115" s="7">
        <v>43879</v>
      </c>
      <c r="C115" s="8" t="s">
        <v>59</v>
      </c>
      <c r="D115" s="8" t="s">
        <v>103</v>
      </c>
      <c r="E115" s="8"/>
      <c r="F115" s="8"/>
      <c r="G115" s="8" t="s">
        <v>42</v>
      </c>
      <c r="H115" s="4"/>
      <c r="I115" s="9"/>
      <c r="J115" s="8">
        <v>429.86</v>
      </c>
      <c r="K115" s="5"/>
      <c r="L115" s="12" t="s">
        <v>15</v>
      </c>
    </row>
    <row r="116" spans="1:12">
      <c r="A116" s="7">
        <v>43839</v>
      </c>
      <c r="B116" s="7">
        <v>43879</v>
      </c>
      <c r="C116" s="8" t="s">
        <v>59</v>
      </c>
      <c r="D116" s="8" t="s">
        <v>104</v>
      </c>
      <c r="E116" s="8"/>
      <c r="F116" s="8"/>
      <c r="G116" s="8" t="s">
        <v>42</v>
      </c>
      <c r="H116" s="4"/>
      <c r="I116" s="9"/>
      <c r="J116" s="8">
        <v>6185.16</v>
      </c>
      <c r="K116" s="5"/>
      <c r="L116" s="12" t="s">
        <v>15</v>
      </c>
    </row>
    <row r="117" spans="1:12">
      <c r="A117" s="7">
        <v>43839</v>
      </c>
      <c r="B117" s="7">
        <v>43879</v>
      </c>
      <c r="C117" s="8" t="s">
        <v>25</v>
      </c>
      <c r="D117" s="8" t="s">
        <v>105</v>
      </c>
      <c r="E117" s="8"/>
      <c r="F117" s="8"/>
      <c r="G117" s="8" t="s">
        <v>42</v>
      </c>
      <c r="H117" s="4"/>
      <c r="I117" s="9"/>
      <c r="J117" s="8">
        <v>376.13</v>
      </c>
      <c r="K117" s="5"/>
      <c r="L117" s="12" t="s">
        <v>15</v>
      </c>
    </row>
    <row r="118" spans="1:12">
      <c r="A118" s="21">
        <v>43840</v>
      </c>
      <c r="B118" s="21">
        <v>43870</v>
      </c>
      <c r="C118" s="8" t="s">
        <v>59</v>
      </c>
      <c r="D118" s="9">
        <v>20000021</v>
      </c>
      <c r="E118" s="9">
        <v>32031.25</v>
      </c>
      <c r="F118" s="9"/>
      <c r="G118" s="9" t="s">
        <v>106</v>
      </c>
      <c r="H118" s="4"/>
      <c r="I118" s="9"/>
      <c r="J118" s="9"/>
      <c r="K118" s="5"/>
      <c r="L118" s="6"/>
    </row>
    <row r="119" spans="1:12">
      <c r="A119" s="7">
        <v>43840</v>
      </c>
      <c r="B119" s="7">
        <v>43860</v>
      </c>
      <c r="C119" s="8" t="s">
        <v>70</v>
      </c>
      <c r="D119" s="8">
        <v>1498036</v>
      </c>
      <c r="E119" s="8"/>
      <c r="F119" s="8"/>
      <c r="G119" s="8" t="s">
        <v>14</v>
      </c>
      <c r="H119" s="4"/>
      <c r="I119" s="8">
        <v>3021</v>
      </c>
      <c r="J119" s="9"/>
      <c r="K119" s="5"/>
      <c r="L119" s="12" t="s">
        <v>15</v>
      </c>
    </row>
    <row r="120" spans="1:12">
      <c r="A120" s="7">
        <v>43843</v>
      </c>
      <c r="B120" s="7">
        <v>43857</v>
      </c>
      <c r="C120" s="8" t="s">
        <v>59</v>
      </c>
      <c r="D120" s="8">
        <v>61128</v>
      </c>
      <c r="E120" s="8"/>
      <c r="F120" s="8"/>
      <c r="G120" s="8" t="s">
        <v>39</v>
      </c>
      <c r="H120" s="4"/>
      <c r="I120" s="8">
        <v>856.76</v>
      </c>
      <c r="J120" s="9"/>
      <c r="K120" s="5"/>
      <c r="L120" s="12" t="s">
        <v>15</v>
      </c>
    </row>
    <row r="121" spans="1:12">
      <c r="A121" s="7">
        <v>43843</v>
      </c>
      <c r="B121" s="7">
        <v>43873</v>
      </c>
      <c r="C121" s="8" t="s">
        <v>59</v>
      </c>
      <c r="D121" s="8" t="s">
        <v>107</v>
      </c>
      <c r="E121" s="8"/>
      <c r="F121" s="11"/>
      <c r="G121" s="8" t="s">
        <v>42</v>
      </c>
      <c r="H121" s="4"/>
      <c r="I121" s="9"/>
      <c r="J121" s="8">
        <v>1250</v>
      </c>
      <c r="K121" s="5"/>
      <c r="L121" s="12" t="s">
        <v>15</v>
      </c>
    </row>
    <row r="122" spans="1:12">
      <c r="A122" s="7">
        <v>43843</v>
      </c>
      <c r="B122" s="7">
        <v>43863</v>
      </c>
      <c r="C122" s="8" t="s">
        <v>70</v>
      </c>
      <c r="D122" s="8">
        <v>1498292</v>
      </c>
      <c r="E122" s="8"/>
      <c r="F122" s="8"/>
      <c r="G122" s="8" t="s">
        <v>42</v>
      </c>
      <c r="H122" s="4"/>
      <c r="I122" s="8">
        <v>570</v>
      </c>
      <c r="J122" s="9"/>
      <c r="K122" s="5"/>
      <c r="L122" s="12" t="s">
        <v>15</v>
      </c>
    </row>
    <row r="123" spans="1:12">
      <c r="A123" s="7">
        <v>43843</v>
      </c>
      <c r="B123" s="7">
        <v>43863</v>
      </c>
      <c r="C123" s="8" t="s">
        <v>70</v>
      </c>
      <c r="D123" s="8">
        <v>1498294</v>
      </c>
      <c r="E123" s="8"/>
      <c r="F123" s="8"/>
      <c r="G123" s="8" t="s">
        <v>42</v>
      </c>
      <c r="H123" s="4"/>
      <c r="I123" s="8">
        <v>570</v>
      </c>
      <c r="J123" s="9"/>
      <c r="K123" s="5"/>
      <c r="L123" s="12" t="s">
        <v>15</v>
      </c>
    </row>
    <row r="124" spans="1:12">
      <c r="A124" s="7">
        <v>43843</v>
      </c>
      <c r="B124" s="7">
        <v>43863</v>
      </c>
      <c r="C124" s="8" t="s">
        <v>59</v>
      </c>
      <c r="D124" s="8">
        <v>1498293</v>
      </c>
      <c r="E124" s="8"/>
      <c r="F124" s="8"/>
      <c r="G124" s="8" t="s">
        <v>42</v>
      </c>
      <c r="H124" s="4"/>
      <c r="I124" s="8">
        <v>1710</v>
      </c>
      <c r="J124" s="9"/>
      <c r="K124" s="5"/>
      <c r="L124" s="12" t="s">
        <v>15</v>
      </c>
    </row>
    <row r="125" spans="1:12">
      <c r="A125" s="7">
        <v>43843</v>
      </c>
      <c r="B125" s="7">
        <v>43863</v>
      </c>
      <c r="C125" s="8" t="s">
        <v>59</v>
      </c>
      <c r="D125" s="8">
        <v>1498289</v>
      </c>
      <c r="E125" s="8"/>
      <c r="F125" s="8"/>
      <c r="G125" s="8" t="s">
        <v>42</v>
      </c>
      <c r="H125" s="4"/>
      <c r="I125" s="8">
        <v>1923.75</v>
      </c>
      <c r="J125" s="9"/>
      <c r="K125" s="5"/>
      <c r="L125" s="12" t="s">
        <v>15</v>
      </c>
    </row>
    <row r="126" spans="1:12">
      <c r="A126" s="7">
        <v>43843</v>
      </c>
      <c r="B126" s="7">
        <v>43863</v>
      </c>
      <c r="C126" s="8" t="s">
        <v>59</v>
      </c>
      <c r="D126" s="8">
        <v>1498290</v>
      </c>
      <c r="E126" s="8"/>
      <c r="F126" s="8"/>
      <c r="G126" s="8" t="s">
        <v>42</v>
      </c>
      <c r="H126" s="4"/>
      <c r="I126" s="8">
        <v>641.25</v>
      </c>
      <c r="J126" s="9"/>
      <c r="K126" s="5"/>
      <c r="L126" s="12" t="s">
        <v>15</v>
      </c>
    </row>
    <row r="127" spans="1:12">
      <c r="A127" s="7">
        <v>43843</v>
      </c>
      <c r="B127" s="7">
        <v>43863</v>
      </c>
      <c r="C127" s="8" t="s">
        <v>59</v>
      </c>
      <c r="D127" s="8">
        <v>1498283</v>
      </c>
      <c r="E127" s="8"/>
      <c r="F127" s="8"/>
      <c r="G127" s="8" t="s">
        <v>87</v>
      </c>
      <c r="H127" s="4"/>
      <c r="I127" s="8">
        <v>1033.1300000000001</v>
      </c>
      <c r="J127" s="9"/>
      <c r="K127" s="5"/>
      <c r="L127" s="12" t="s">
        <v>15</v>
      </c>
    </row>
    <row r="128" spans="1:12">
      <c r="A128" s="7">
        <v>43843</v>
      </c>
      <c r="B128" s="7">
        <v>43850</v>
      </c>
      <c r="C128" s="8" t="s">
        <v>33</v>
      </c>
      <c r="D128" s="8">
        <v>56797042</v>
      </c>
      <c r="E128" s="8"/>
      <c r="F128" s="8"/>
      <c r="G128" s="8" t="s">
        <v>42</v>
      </c>
      <c r="H128" s="4"/>
      <c r="I128" s="8">
        <v>841.2</v>
      </c>
      <c r="J128" s="9"/>
      <c r="K128" s="5"/>
      <c r="L128" s="12" t="s">
        <v>15</v>
      </c>
    </row>
    <row r="129" spans="1:12">
      <c r="A129" s="7">
        <v>43844</v>
      </c>
      <c r="B129" s="7">
        <v>43890</v>
      </c>
      <c r="C129" s="8" t="s">
        <v>59</v>
      </c>
      <c r="D129" s="8" t="s">
        <v>108</v>
      </c>
      <c r="E129" s="8"/>
      <c r="F129" s="8"/>
      <c r="G129" s="8" t="s">
        <v>14</v>
      </c>
      <c r="H129" s="4"/>
      <c r="I129" s="9"/>
      <c r="J129" s="8">
        <v>232.94</v>
      </c>
      <c r="K129" s="5"/>
      <c r="L129" s="12" t="s">
        <v>15</v>
      </c>
    </row>
    <row r="130" spans="1:12">
      <c r="A130" s="7">
        <v>43844</v>
      </c>
      <c r="B130" s="7">
        <v>43864</v>
      </c>
      <c r="C130" s="8" t="s">
        <v>70</v>
      </c>
      <c r="D130" s="8">
        <v>1498864</v>
      </c>
      <c r="E130" s="8"/>
      <c r="F130" s="8"/>
      <c r="G130" s="8" t="s">
        <v>14</v>
      </c>
      <c r="H130" s="4"/>
      <c r="I130" s="8">
        <v>3021</v>
      </c>
      <c r="J130" s="9"/>
      <c r="K130" s="5"/>
      <c r="L130" s="12" t="s">
        <v>15</v>
      </c>
    </row>
    <row r="131" spans="1:12">
      <c r="A131" s="7">
        <v>43844</v>
      </c>
      <c r="B131" s="7">
        <v>43864</v>
      </c>
      <c r="C131" s="8" t="s">
        <v>59</v>
      </c>
      <c r="D131" s="8">
        <v>1498863</v>
      </c>
      <c r="E131" s="8"/>
      <c r="F131" s="8"/>
      <c r="G131" s="8" t="s">
        <v>14</v>
      </c>
      <c r="H131" s="4"/>
      <c r="I131" s="8">
        <v>4488.75</v>
      </c>
      <c r="J131" s="9"/>
      <c r="K131" s="5"/>
      <c r="L131" s="12" t="s">
        <v>15</v>
      </c>
    </row>
    <row r="132" spans="1:12">
      <c r="A132" s="7">
        <v>43845</v>
      </c>
      <c r="B132" s="7">
        <v>43865</v>
      </c>
      <c r="C132" s="8" t="s">
        <v>59</v>
      </c>
      <c r="D132" s="8">
        <v>1499411</v>
      </c>
      <c r="E132" s="8"/>
      <c r="F132" s="8"/>
      <c r="G132" s="8" t="s">
        <v>42</v>
      </c>
      <c r="H132" s="4"/>
      <c r="I132" s="8">
        <v>1282.5</v>
      </c>
      <c r="J132" s="9"/>
      <c r="K132" s="5"/>
      <c r="L132" s="12" t="s">
        <v>15</v>
      </c>
    </row>
    <row r="133" spans="1:12">
      <c r="A133" s="7">
        <v>43845</v>
      </c>
      <c r="B133" s="7">
        <v>43865</v>
      </c>
      <c r="C133" s="8" t="s">
        <v>70</v>
      </c>
      <c r="D133" s="8">
        <v>1499412</v>
      </c>
      <c r="E133" s="8"/>
      <c r="F133" s="8"/>
      <c r="G133" s="8" t="s">
        <v>42</v>
      </c>
      <c r="H133" s="4"/>
      <c r="I133" s="8">
        <v>1923.75</v>
      </c>
      <c r="J133" s="9"/>
      <c r="K133" s="5"/>
      <c r="L133" s="12" t="s">
        <v>15</v>
      </c>
    </row>
    <row r="134" spans="1:12">
      <c r="A134" s="7">
        <v>43845</v>
      </c>
      <c r="B134" s="7">
        <v>43875</v>
      </c>
      <c r="C134" s="8" t="s">
        <v>59</v>
      </c>
      <c r="D134" s="8">
        <v>632000252</v>
      </c>
      <c r="E134" s="8" t="s">
        <v>109</v>
      </c>
      <c r="F134" s="8"/>
      <c r="G134" s="8" t="s">
        <v>106</v>
      </c>
      <c r="H134" s="4"/>
      <c r="I134" s="8" t="s">
        <v>109</v>
      </c>
      <c r="J134" s="9"/>
      <c r="K134" s="5"/>
      <c r="L134" s="12" t="s">
        <v>15</v>
      </c>
    </row>
    <row r="135" spans="1:12">
      <c r="A135" s="7">
        <v>43845</v>
      </c>
      <c r="B135" s="7">
        <v>43865</v>
      </c>
      <c r="C135" s="8" t="s">
        <v>59</v>
      </c>
      <c r="D135" s="8">
        <v>1499418</v>
      </c>
      <c r="E135" s="8"/>
      <c r="F135" s="8"/>
      <c r="G135" s="8" t="s">
        <v>42</v>
      </c>
      <c r="H135" s="4"/>
      <c r="I135" s="8">
        <v>1033.1300000000001</v>
      </c>
      <c r="J135" s="9"/>
      <c r="K135" s="5"/>
      <c r="L135" s="12" t="s">
        <v>15</v>
      </c>
    </row>
    <row r="136" spans="1:12">
      <c r="A136" s="7">
        <v>43845</v>
      </c>
      <c r="B136" s="7">
        <v>43852</v>
      </c>
      <c r="C136" s="8" t="s">
        <v>33</v>
      </c>
      <c r="D136" s="8">
        <v>56799904</v>
      </c>
      <c r="E136" s="8"/>
      <c r="F136" s="8"/>
      <c r="G136" s="8" t="s">
        <v>42</v>
      </c>
      <c r="H136" s="4"/>
      <c r="I136" s="8">
        <v>156</v>
      </c>
      <c r="J136" s="9"/>
      <c r="K136" s="5"/>
      <c r="L136" s="12" t="s">
        <v>15</v>
      </c>
    </row>
    <row r="137" spans="1:12">
      <c r="A137" s="7">
        <v>43845</v>
      </c>
      <c r="B137" s="7">
        <v>43905</v>
      </c>
      <c r="C137" s="8" t="s">
        <v>110</v>
      </c>
      <c r="D137" s="8" t="s">
        <v>111</v>
      </c>
      <c r="E137" s="8"/>
      <c r="F137" s="8"/>
      <c r="G137" s="8" t="s">
        <v>14</v>
      </c>
      <c r="H137" s="4"/>
      <c r="I137" s="9"/>
      <c r="J137" s="8">
        <v>4647.88</v>
      </c>
      <c r="K137" s="5"/>
      <c r="L137" s="12" t="s">
        <v>15</v>
      </c>
    </row>
    <row r="138" spans="1:12">
      <c r="A138" s="7">
        <v>43841</v>
      </c>
      <c r="B138" s="7">
        <v>43849</v>
      </c>
      <c r="C138" s="8" t="s">
        <v>92</v>
      </c>
      <c r="D138" s="8">
        <v>13199</v>
      </c>
      <c r="E138" s="11"/>
      <c r="F138" s="8"/>
      <c r="G138" s="8" t="s">
        <v>9</v>
      </c>
      <c r="H138" s="4"/>
      <c r="I138" s="8">
        <v>32530</v>
      </c>
      <c r="J138" s="9"/>
      <c r="K138" s="5"/>
      <c r="L138" s="12" t="s">
        <v>15</v>
      </c>
    </row>
    <row r="139" spans="1:12">
      <c r="A139" s="7">
        <v>37496</v>
      </c>
      <c r="B139" s="7">
        <v>43713</v>
      </c>
      <c r="C139" s="8" t="s">
        <v>92</v>
      </c>
      <c r="D139" s="8">
        <v>12950</v>
      </c>
      <c r="E139" s="8"/>
      <c r="F139" s="8"/>
      <c r="G139" s="8" t="s">
        <v>9</v>
      </c>
      <c r="H139" s="4"/>
      <c r="I139" s="8">
        <v>8831.25</v>
      </c>
      <c r="J139" s="9"/>
      <c r="K139" s="5"/>
      <c r="L139" s="12" t="s">
        <v>15</v>
      </c>
    </row>
    <row r="140" spans="1:12">
      <c r="A140" s="7">
        <v>43845</v>
      </c>
      <c r="B140" s="7">
        <v>43875</v>
      </c>
      <c r="C140" s="8" t="s">
        <v>59</v>
      </c>
      <c r="D140" s="8" t="s">
        <v>112</v>
      </c>
      <c r="E140" s="8"/>
      <c r="F140" s="8"/>
      <c r="G140" s="8" t="s">
        <v>42</v>
      </c>
      <c r="H140" s="4"/>
      <c r="I140" s="9"/>
      <c r="J140" s="8">
        <v>2750</v>
      </c>
      <c r="K140" s="5"/>
      <c r="L140" s="12" t="s">
        <v>15</v>
      </c>
    </row>
    <row r="141" spans="1:12">
      <c r="A141" s="7">
        <v>43843</v>
      </c>
      <c r="B141" s="7">
        <v>43873</v>
      </c>
      <c r="C141" s="8" t="s">
        <v>59</v>
      </c>
      <c r="D141" s="8">
        <v>1747</v>
      </c>
      <c r="E141" s="8"/>
      <c r="F141" s="8"/>
      <c r="G141" s="8" t="s">
        <v>9</v>
      </c>
      <c r="H141" s="4"/>
      <c r="I141" s="9"/>
      <c r="J141" s="8">
        <v>64800</v>
      </c>
      <c r="K141" s="5"/>
      <c r="L141" s="12" t="s">
        <v>15</v>
      </c>
    </row>
    <row r="142" spans="1:12">
      <c r="A142" s="7">
        <v>43822</v>
      </c>
      <c r="B142" s="7">
        <v>43852</v>
      </c>
      <c r="C142" s="8" t="s">
        <v>113</v>
      </c>
      <c r="D142" s="8">
        <v>141843</v>
      </c>
      <c r="E142" s="8"/>
      <c r="F142" s="8"/>
      <c r="G142" s="8" t="s">
        <v>14</v>
      </c>
      <c r="H142" s="4"/>
      <c r="I142" s="8">
        <v>119700.11</v>
      </c>
      <c r="J142" s="9"/>
      <c r="K142" s="5"/>
      <c r="L142" s="12" t="s">
        <v>15</v>
      </c>
    </row>
    <row r="143" spans="1:12">
      <c r="A143" s="7">
        <v>43846</v>
      </c>
      <c r="B143" s="7">
        <v>43866</v>
      </c>
      <c r="C143" s="8" t="s">
        <v>70</v>
      </c>
      <c r="D143" s="8">
        <v>1499687</v>
      </c>
      <c r="E143" s="11"/>
      <c r="F143" s="8"/>
      <c r="G143" s="8" t="s">
        <v>9</v>
      </c>
      <c r="H143" s="4"/>
      <c r="I143" s="8">
        <v>1187.5</v>
      </c>
      <c r="J143" s="9"/>
      <c r="K143" s="5"/>
      <c r="L143" s="12" t="s">
        <v>15</v>
      </c>
    </row>
    <row r="144" spans="1:12">
      <c r="A144" s="7">
        <v>43850</v>
      </c>
      <c r="B144" s="20">
        <v>43858</v>
      </c>
      <c r="C144" s="8" t="s">
        <v>59</v>
      </c>
      <c r="D144" s="8">
        <v>18542</v>
      </c>
      <c r="E144" s="8"/>
      <c r="F144" s="8"/>
      <c r="G144" s="8" t="s">
        <v>9</v>
      </c>
      <c r="H144" s="4"/>
      <c r="I144" s="8">
        <v>790</v>
      </c>
      <c r="J144" s="9"/>
      <c r="K144" s="5"/>
      <c r="L144" s="12" t="s">
        <v>15</v>
      </c>
    </row>
    <row r="145" spans="1:12">
      <c r="A145" s="7">
        <v>43846</v>
      </c>
      <c r="B145" s="7">
        <v>43905</v>
      </c>
      <c r="C145" s="8" t="s">
        <v>114</v>
      </c>
      <c r="D145" s="8">
        <v>1093686</v>
      </c>
      <c r="E145" s="8"/>
      <c r="F145" s="8"/>
      <c r="G145" s="8" t="s">
        <v>15</v>
      </c>
      <c r="H145" s="4"/>
      <c r="I145" s="8">
        <v>177.78</v>
      </c>
      <c r="J145" s="9"/>
      <c r="K145" s="5"/>
      <c r="L145" s="12" t="s">
        <v>15</v>
      </c>
    </row>
    <row r="146" spans="1:12">
      <c r="A146" s="7">
        <v>43850</v>
      </c>
      <c r="B146" s="7">
        <v>43832</v>
      </c>
      <c r="C146" s="8" t="s">
        <v>59</v>
      </c>
      <c r="D146" s="8">
        <v>399422</v>
      </c>
      <c r="E146" s="8"/>
      <c r="F146" s="8"/>
      <c r="G146" s="8" t="s">
        <v>9</v>
      </c>
      <c r="H146" s="4"/>
      <c r="I146" s="8">
        <v>1813.74</v>
      </c>
      <c r="J146" s="9"/>
      <c r="K146" s="5"/>
      <c r="L146" s="12" t="s">
        <v>15</v>
      </c>
    </row>
    <row r="147" spans="1:12">
      <c r="A147" s="21">
        <v>43846</v>
      </c>
      <c r="B147" s="21">
        <v>43881</v>
      </c>
      <c r="C147" s="9" t="s">
        <v>94</v>
      </c>
      <c r="D147" s="22" t="s">
        <v>115</v>
      </c>
      <c r="E147" s="9"/>
      <c r="F147" s="9"/>
      <c r="G147" s="9" t="s">
        <v>14</v>
      </c>
      <c r="H147" s="4"/>
      <c r="I147" s="9"/>
      <c r="J147" s="9">
        <v>5331.2</v>
      </c>
      <c r="K147" s="5"/>
      <c r="L147" s="12" t="s">
        <v>15</v>
      </c>
    </row>
    <row r="148" spans="1:12">
      <c r="A148" s="7">
        <v>43850</v>
      </c>
      <c r="B148" s="7">
        <v>43880</v>
      </c>
      <c r="C148" s="8" t="s">
        <v>59</v>
      </c>
      <c r="D148" s="8">
        <v>24913</v>
      </c>
      <c r="E148" s="8"/>
      <c r="F148" s="8"/>
      <c r="G148" s="8" t="s">
        <v>39</v>
      </c>
      <c r="H148" s="4"/>
      <c r="I148" s="8">
        <v>1780</v>
      </c>
      <c r="J148" s="9"/>
      <c r="K148" s="5"/>
      <c r="L148" s="12" t="s">
        <v>15</v>
      </c>
    </row>
    <row r="149" spans="1:12">
      <c r="A149" s="7">
        <v>43850</v>
      </c>
      <c r="B149" s="7">
        <v>43864</v>
      </c>
      <c r="C149" s="8" t="s">
        <v>38</v>
      </c>
      <c r="D149" s="8">
        <v>61155</v>
      </c>
      <c r="E149" s="8"/>
      <c r="F149" s="8"/>
      <c r="G149" s="8" t="s">
        <v>39</v>
      </c>
      <c r="H149" s="4"/>
      <c r="I149" s="8">
        <v>856.76</v>
      </c>
      <c r="J149" s="9"/>
      <c r="K149" s="5"/>
      <c r="L149" s="12" t="s">
        <v>15</v>
      </c>
    </row>
    <row r="150" spans="1:12">
      <c r="A150" s="7">
        <v>43847</v>
      </c>
      <c r="B150" s="7">
        <v>43877</v>
      </c>
      <c r="C150" s="8" t="s">
        <v>22</v>
      </c>
      <c r="D150" s="8" t="s">
        <v>116</v>
      </c>
      <c r="E150" s="8"/>
      <c r="F150" s="8"/>
      <c r="G150" s="8" t="s">
        <v>14</v>
      </c>
      <c r="H150" s="4"/>
      <c r="I150" s="9"/>
      <c r="J150" s="8">
        <v>1981.44</v>
      </c>
      <c r="K150" s="5"/>
      <c r="L150" s="12" t="s">
        <v>15</v>
      </c>
    </row>
    <row r="151" spans="1:12">
      <c r="A151" s="7">
        <v>43847</v>
      </c>
      <c r="B151" s="7">
        <v>43877</v>
      </c>
      <c r="C151" s="8" t="s">
        <v>22</v>
      </c>
      <c r="D151" s="8" t="s">
        <v>117</v>
      </c>
      <c r="E151" s="8"/>
      <c r="F151" s="8"/>
      <c r="G151" s="8" t="s">
        <v>14</v>
      </c>
      <c r="H151" s="4"/>
      <c r="I151" s="9"/>
      <c r="J151" s="8">
        <v>2972.16</v>
      </c>
      <c r="K151" s="5"/>
      <c r="L151" s="12" t="s">
        <v>15</v>
      </c>
    </row>
    <row r="152" spans="1:12">
      <c r="A152" s="7">
        <v>43850</v>
      </c>
      <c r="B152" s="7">
        <v>43880</v>
      </c>
      <c r="C152" s="8" t="s">
        <v>22</v>
      </c>
      <c r="D152" s="8" t="s">
        <v>118</v>
      </c>
      <c r="E152" s="8"/>
      <c r="F152" s="8"/>
      <c r="G152" s="8" t="s">
        <v>14</v>
      </c>
      <c r="H152" s="4"/>
      <c r="I152" s="9"/>
      <c r="J152" s="8">
        <v>19981.439999999999</v>
      </c>
      <c r="K152" s="5"/>
      <c r="L152" s="12" t="s">
        <v>15</v>
      </c>
    </row>
    <row r="153" spans="1:12">
      <c r="A153" s="7">
        <v>43850</v>
      </c>
      <c r="B153" s="7">
        <v>43880</v>
      </c>
      <c r="C153" s="8" t="s">
        <v>22</v>
      </c>
      <c r="D153" s="8" t="s">
        <v>119</v>
      </c>
      <c r="E153" s="8"/>
      <c r="F153" s="11"/>
      <c r="G153" s="8" t="s">
        <v>14</v>
      </c>
      <c r="H153" s="4"/>
      <c r="I153" s="9"/>
      <c r="J153" s="8">
        <v>2972.16</v>
      </c>
      <c r="K153" s="5"/>
      <c r="L153" s="12" t="s">
        <v>15</v>
      </c>
    </row>
    <row r="154" spans="1:12">
      <c r="A154" s="21">
        <v>43847</v>
      </c>
      <c r="B154" s="21">
        <v>43847</v>
      </c>
      <c r="C154" s="9" t="s">
        <v>18</v>
      </c>
      <c r="D154" s="9" t="s">
        <v>120</v>
      </c>
      <c r="E154" s="9"/>
      <c r="F154" s="9">
        <v>4752</v>
      </c>
      <c r="G154" s="9" t="s">
        <v>14</v>
      </c>
      <c r="H154" s="4"/>
      <c r="I154" s="9"/>
      <c r="J154" s="9"/>
      <c r="K154" s="5"/>
      <c r="L154" s="6"/>
    </row>
    <row r="155" spans="1:12">
      <c r="A155" s="21">
        <v>43850</v>
      </c>
      <c r="B155" s="21">
        <v>43850</v>
      </c>
      <c r="C155" s="9" t="s">
        <v>18</v>
      </c>
      <c r="D155" s="9" t="s">
        <v>121</v>
      </c>
      <c r="E155" s="9"/>
      <c r="F155" s="9">
        <v>3801.6</v>
      </c>
      <c r="G155" s="9" t="s">
        <v>14</v>
      </c>
      <c r="H155" s="4"/>
      <c r="I155" s="9"/>
      <c r="J155" s="9"/>
      <c r="K155" s="5"/>
      <c r="L155" s="6"/>
    </row>
    <row r="156" spans="1:12">
      <c r="A156" s="21">
        <v>43850</v>
      </c>
      <c r="B156" s="21">
        <v>43850</v>
      </c>
      <c r="C156" s="9" t="s">
        <v>18</v>
      </c>
      <c r="D156" s="9" t="s">
        <v>122</v>
      </c>
      <c r="E156" s="9"/>
      <c r="F156" s="9">
        <v>3801.6</v>
      </c>
      <c r="G156" s="9" t="s">
        <v>14</v>
      </c>
      <c r="H156" s="4"/>
      <c r="I156" s="9"/>
      <c r="J156" s="9"/>
      <c r="K156" s="5"/>
      <c r="L156" s="6"/>
    </row>
    <row r="157" spans="1:12">
      <c r="A157" s="21">
        <v>43850</v>
      </c>
      <c r="B157" s="21">
        <v>43850</v>
      </c>
      <c r="C157" s="9" t="s">
        <v>18</v>
      </c>
      <c r="D157" s="9" t="s">
        <v>123</v>
      </c>
      <c r="E157" s="9"/>
      <c r="F157" s="9">
        <v>19029.400000000001</v>
      </c>
      <c r="G157" s="9" t="s">
        <v>14</v>
      </c>
      <c r="H157" s="4"/>
      <c r="I157" s="9"/>
      <c r="J157" s="9"/>
      <c r="K157" s="5"/>
      <c r="L157" s="6"/>
    </row>
    <row r="158" spans="1:12">
      <c r="A158" s="7">
        <v>43830</v>
      </c>
      <c r="B158" s="7">
        <v>43845</v>
      </c>
      <c r="C158" s="8" t="s">
        <v>124</v>
      </c>
      <c r="D158" s="8">
        <v>18837</v>
      </c>
      <c r="E158" s="11"/>
      <c r="F158" s="8"/>
      <c r="G158" s="8" t="s">
        <v>9</v>
      </c>
      <c r="H158" s="4"/>
      <c r="I158" s="8">
        <v>2484.38</v>
      </c>
      <c r="J158" s="9"/>
      <c r="K158" s="5"/>
      <c r="L158" s="12" t="s">
        <v>15</v>
      </c>
    </row>
    <row r="159" spans="1:12">
      <c r="A159" s="7">
        <v>43850</v>
      </c>
      <c r="B159" s="7">
        <v>43880</v>
      </c>
      <c r="C159" s="8" t="s">
        <v>54</v>
      </c>
      <c r="D159" s="8" t="s">
        <v>125</v>
      </c>
      <c r="E159" s="8"/>
      <c r="F159" s="11"/>
      <c r="G159" s="8" t="s">
        <v>42</v>
      </c>
      <c r="H159" s="4"/>
      <c r="I159" s="9"/>
      <c r="J159" s="8">
        <v>2750</v>
      </c>
      <c r="K159" s="5"/>
      <c r="L159" s="12" t="s">
        <v>15</v>
      </c>
    </row>
    <row r="160" spans="1:12">
      <c r="A160" s="7">
        <v>43850</v>
      </c>
      <c r="B160" s="7">
        <v>43870</v>
      </c>
      <c r="C160" s="8" t="s">
        <v>70</v>
      </c>
      <c r="D160" s="8">
        <v>1500828</v>
      </c>
      <c r="E160" s="11"/>
      <c r="F160" s="8"/>
      <c r="G160" s="8" t="s">
        <v>14</v>
      </c>
      <c r="H160" s="4"/>
      <c r="I160" s="8">
        <v>2992.5</v>
      </c>
      <c r="J160" s="9"/>
      <c r="K160" s="5"/>
      <c r="L160" s="12" t="s">
        <v>15</v>
      </c>
    </row>
    <row r="161" spans="1:12">
      <c r="A161" s="7">
        <v>43847</v>
      </c>
      <c r="B161" s="7">
        <v>43891</v>
      </c>
      <c r="C161" s="8" t="s">
        <v>12</v>
      </c>
      <c r="D161" s="10" t="s">
        <v>126</v>
      </c>
      <c r="E161" s="8"/>
      <c r="F161" s="11"/>
      <c r="G161" s="8" t="s">
        <v>42</v>
      </c>
      <c r="H161" s="4"/>
      <c r="I161" s="8">
        <v>1312.5</v>
      </c>
      <c r="J161" s="9"/>
      <c r="K161" s="5"/>
      <c r="L161" s="12" t="s">
        <v>15</v>
      </c>
    </row>
    <row r="162" spans="1:12">
      <c r="A162" s="7">
        <v>43847</v>
      </c>
      <c r="B162" s="7">
        <v>43867</v>
      </c>
      <c r="C162" s="8" t="s">
        <v>70</v>
      </c>
      <c r="D162" s="8">
        <v>1500031</v>
      </c>
      <c r="E162" s="8"/>
      <c r="F162" s="8"/>
      <c r="G162" s="8" t="s">
        <v>42</v>
      </c>
      <c r="H162" s="4"/>
      <c r="I162" s="8">
        <v>1923.75</v>
      </c>
      <c r="J162" s="9"/>
      <c r="K162" s="5"/>
      <c r="L162" s="12" t="s">
        <v>15</v>
      </c>
    </row>
    <row r="163" spans="1:12">
      <c r="A163" s="7">
        <v>43847</v>
      </c>
      <c r="B163" s="7">
        <v>43867</v>
      </c>
      <c r="C163" s="8" t="s">
        <v>70</v>
      </c>
      <c r="D163" s="8">
        <v>1500032</v>
      </c>
      <c r="E163" s="8"/>
      <c r="F163" s="8"/>
      <c r="G163" s="8" t="s">
        <v>42</v>
      </c>
      <c r="H163" s="4"/>
      <c r="I163" s="8">
        <v>1923.75</v>
      </c>
      <c r="J163" s="9"/>
      <c r="K163" s="5"/>
      <c r="L163" s="12" t="s">
        <v>15</v>
      </c>
    </row>
    <row r="164" spans="1:12">
      <c r="A164" s="7">
        <v>43847</v>
      </c>
      <c r="B164" s="7">
        <v>43867</v>
      </c>
      <c r="C164" s="8" t="s">
        <v>70</v>
      </c>
      <c r="D164" s="8">
        <v>1500024</v>
      </c>
      <c r="E164" s="8"/>
      <c r="F164" s="8"/>
      <c r="G164" s="8" t="s">
        <v>14</v>
      </c>
      <c r="H164" s="4"/>
      <c r="I164" s="8">
        <v>1995</v>
      </c>
      <c r="J164" s="9"/>
      <c r="K164" s="5"/>
      <c r="L164" s="12" t="s">
        <v>15</v>
      </c>
    </row>
    <row r="165" spans="1:12">
      <c r="A165" s="7">
        <v>43847</v>
      </c>
      <c r="B165" s="7">
        <v>43867</v>
      </c>
      <c r="C165" s="8" t="s">
        <v>70</v>
      </c>
      <c r="D165" s="8">
        <v>1500003</v>
      </c>
      <c r="E165" s="8"/>
      <c r="F165" s="8"/>
      <c r="G165" s="8" t="s">
        <v>42</v>
      </c>
      <c r="H165" s="4"/>
      <c r="I165" s="8">
        <v>1033.1300000000001</v>
      </c>
      <c r="J165" s="9"/>
      <c r="K165" s="5"/>
      <c r="L165" s="12" t="s">
        <v>15</v>
      </c>
    </row>
    <row r="166" spans="1:12">
      <c r="A166" s="7">
        <v>43847</v>
      </c>
      <c r="B166" s="7">
        <v>43867</v>
      </c>
      <c r="C166" s="8" t="s">
        <v>70</v>
      </c>
      <c r="D166" s="8">
        <v>1499977</v>
      </c>
      <c r="E166" s="8"/>
      <c r="F166" s="8"/>
      <c r="G166" s="8" t="s">
        <v>14</v>
      </c>
      <c r="H166" s="4"/>
      <c r="I166" s="8">
        <v>2940</v>
      </c>
      <c r="J166" s="9"/>
      <c r="K166" s="5"/>
      <c r="L166" s="12" t="s">
        <v>15</v>
      </c>
    </row>
    <row r="167" spans="1:12">
      <c r="A167" s="7">
        <v>43844</v>
      </c>
      <c r="B167" s="7">
        <v>43884</v>
      </c>
      <c r="C167" s="8" t="s">
        <v>25</v>
      </c>
      <c r="D167" s="8" t="s">
        <v>127</v>
      </c>
      <c r="E167" s="8"/>
      <c r="F167" s="8"/>
      <c r="G167" s="8" t="s">
        <v>42</v>
      </c>
      <c r="H167" s="4"/>
      <c r="I167" s="9"/>
      <c r="J167" s="8">
        <v>2097.11</v>
      </c>
      <c r="K167" s="5"/>
      <c r="L167" s="12" t="s">
        <v>15</v>
      </c>
    </row>
    <row r="168" spans="1:12">
      <c r="A168" s="7">
        <v>43844</v>
      </c>
      <c r="B168" s="7">
        <v>43884</v>
      </c>
      <c r="C168" s="8" t="s">
        <v>25</v>
      </c>
      <c r="D168" s="8" t="s">
        <v>128</v>
      </c>
      <c r="E168" s="8"/>
      <c r="F168" s="8"/>
      <c r="G168" s="8" t="s">
        <v>42</v>
      </c>
      <c r="H168" s="4"/>
      <c r="I168" s="9"/>
      <c r="J168" s="8">
        <v>3332.69</v>
      </c>
      <c r="K168" s="5"/>
      <c r="L168" s="12" t="s">
        <v>15</v>
      </c>
    </row>
    <row r="169" spans="1:12">
      <c r="A169" s="7">
        <v>43846</v>
      </c>
      <c r="B169" s="7">
        <v>43886</v>
      </c>
      <c r="C169" s="8" t="s">
        <v>25</v>
      </c>
      <c r="D169" s="8" t="s">
        <v>129</v>
      </c>
      <c r="E169" s="8"/>
      <c r="F169" s="8"/>
      <c r="G169" s="8" t="s">
        <v>42</v>
      </c>
      <c r="H169" s="4"/>
      <c r="I169" s="9"/>
      <c r="J169" s="8">
        <v>2634.43</v>
      </c>
      <c r="K169" s="5"/>
      <c r="L169" s="12" t="s">
        <v>15</v>
      </c>
    </row>
    <row r="170" spans="1:12">
      <c r="A170" s="7">
        <v>43846</v>
      </c>
      <c r="B170" s="7">
        <v>43886</v>
      </c>
      <c r="C170" s="8" t="s">
        <v>25</v>
      </c>
      <c r="D170" s="8" t="s">
        <v>130</v>
      </c>
      <c r="E170" s="8"/>
      <c r="F170" s="8"/>
      <c r="G170" s="8" t="s">
        <v>42</v>
      </c>
      <c r="H170" s="4"/>
      <c r="I170" s="9"/>
      <c r="J170" s="8">
        <v>3494.92</v>
      </c>
      <c r="K170" s="5"/>
      <c r="L170" s="12" t="s">
        <v>15</v>
      </c>
    </row>
    <row r="171" spans="1:12">
      <c r="A171" s="7">
        <v>43840</v>
      </c>
      <c r="B171" s="7">
        <v>43891</v>
      </c>
      <c r="C171" s="8" t="s">
        <v>12</v>
      </c>
      <c r="D171" s="10" t="s">
        <v>131</v>
      </c>
      <c r="E171" s="11"/>
      <c r="F171" s="8"/>
      <c r="G171" s="8" t="s">
        <v>42</v>
      </c>
      <c r="H171" s="4"/>
      <c r="I171" s="8">
        <v>17837.150000000001</v>
      </c>
      <c r="J171" s="9"/>
      <c r="K171" s="5"/>
      <c r="L171" s="12" t="s">
        <v>15</v>
      </c>
    </row>
    <row r="172" spans="1:12">
      <c r="A172" s="7">
        <v>43852</v>
      </c>
      <c r="B172" s="7">
        <v>43859</v>
      </c>
      <c r="C172" s="8" t="s">
        <v>33</v>
      </c>
      <c r="D172" s="8">
        <v>56805405</v>
      </c>
      <c r="E172" s="11"/>
      <c r="F172" s="8"/>
      <c r="G172" s="8" t="s">
        <v>42</v>
      </c>
      <c r="H172" s="4"/>
      <c r="I172" s="8">
        <v>155.35</v>
      </c>
      <c r="J172" s="9"/>
      <c r="K172" s="5"/>
      <c r="L172" s="12" t="s">
        <v>15</v>
      </c>
    </row>
    <row r="173" spans="1:12">
      <c r="A173" s="7">
        <v>43850</v>
      </c>
      <c r="B173" s="7">
        <v>43881</v>
      </c>
      <c r="C173" s="8" t="s">
        <v>94</v>
      </c>
      <c r="D173" s="10" t="s">
        <v>132</v>
      </c>
      <c r="E173" s="8"/>
      <c r="F173" s="8"/>
      <c r="G173" s="8" t="s">
        <v>133</v>
      </c>
      <c r="H173" s="4"/>
      <c r="I173" s="9"/>
      <c r="J173" s="8">
        <v>5607.36</v>
      </c>
      <c r="K173" s="5"/>
      <c r="L173" s="12" t="s">
        <v>15</v>
      </c>
    </row>
    <row r="174" spans="1:12">
      <c r="A174" s="7">
        <v>43853</v>
      </c>
      <c r="B174" s="7">
        <v>43905</v>
      </c>
      <c r="C174" s="8" t="s">
        <v>114</v>
      </c>
      <c r="D174" s="8">
        <v>1095134</v>
      </c>
      <c r="E174" s="11"/>
      <c r="F174" s="8"/>
      <c r="G174" s="8" t="s">
        <v>15</v>
      </c>
      <c r="H174" s="4"/>
      <c r="I174" s="8">
        <v>92.94</v>
      </c>
      <c r="J174" s="9"/>
      <c r="K174" s="5"/>
      <c r="L174" s="12" t="s">
        <v>15</v>
      </c>
    </row>
    <row r="175" spans="1:12">
      <c r="A175" s="7">
        <v>43852</v>
      </c>
      <c r="B175" s="7">
        <v>43882</v>
      </c>
      <c r="C175" s="8" t="s">
        <v>34</v>
      </c>
      <c r="D175" s="8">
        <v>1168421</v>
      </c>
      <c r="E175" s="8"/>
      <c r="F175" s="8"/>
      <c r="G175" s="8" t="s">
        <v>9</v>
      </c>
      <c r="H175" s="4"/>
      <c r="I175" s="8">
        <v>112.5</v>
      </c>
      <c r="J175" s="9"/>
      <c r="K175" s="5"/>
      <c r="L175" s="12" t="s">
        <v>15</v>
      </c>
    </row>
    <row r="176" spans="1:12">
      <c r="A176" s="20">
        <v>43852</v>
      </c>
      <c r="B176" s="7">
        <v>43882</v>
      </c>
      <c r="C176" s="11" t="s">
        <v>54</v>
      </c>
      <c r="D176" s="8" t="s">
        <v>134</v>
      </c>
      <c r="E176" s="8"/>
      <c r="F176" s="11"/>
      <c r="G176" s="8" t="s">
        <v>42</v>
      </c>
      <c r="H176" s="4"/>
      <c r="I176" s="9"/>
      <c r="J176" s="8">
        <v>1250</v>
      </c>
      <c r="K176" s="5"/>
      <c r="L176" s="12" t="s">
        <v>15</v>
      </c>
    </row>
    <row r="177" spans="1:12">
      <c r="A177" s="7">
        <v>43851</v>
      </c>
      <c r="B177" s="7">
        <v>43871</v>
      </c>
      <c r="C177" s="8" t="s">
        <v>70</v>
      </c>
      <c r="D177" s="8">
        <v>1501230</v>
      </c>
      <c r="E177" s="8"/>
      <c r="F177" s="8"/>
      <c r="G177" s="8" t="s">
        <v>42</v>
      </c>
      <c r="H177" s="4"/>
      <c r="I177" s="8">
        <v>4275</v>
      </c>
      <c r="J177" s="9"/>
      <c r="K177" s="5"/>
      <c r="L177" s="12" t="s">
        <v>15</v>
      </c>
    </row>
    <row r="178" spans="1:12">
      <c r="A178" s="7">
        <v>43851</v>
      </c>
      <c r="B178" s="7">
        <v>43871</v>
      </c>
      <c r="C178" s="8" t="s">
        <v>70</v>
      </c>
      <c r="D178" s="8">
        <v>1501231</v>
      </c>
      <c r="E178" s="8"/>
      <c r="F178" s="8"/>
      <c r="G178" s="8" t="s">
        <v>42</v>
      </c>
      <c r="H178" s="4"/>
      <c r="I178" s="8">
        <v>3099.38</v>
      </c>
      <c r="J178" s="9"/>
      <c r="K178" s="5"/>
      <c r="L178" s="12" t="s">
        <v>15</v>
      </c>
    </row>
    <row r="179" spans="1:12">
      <c r="A179" s="7">
        <v>43852</v>
      </c>
      <c r="B179" s="7">
        <v>43872</v>
      </c>
      <c r="C179" s="8" t="s">
        <v>70</v>
      </c>
      <c r="D179" s="8">
        <v>1501405</v>
      </c>
      <c r="E179" s="8"/>
      <c r="F179" s="8"/>
      <c r="G179" s="8" t="s">
        <v>42</v>
      </c>
      <c r="H179" s="4"/>
      <c r="I179" s="8">
        <v>2066.25</v>
      </c>
      <c r="J179" s="9"/>
      <c r="K179" s="5"/>
      <c r="L179" s="12" t="s">
        <v>15</v>
      </c>
    </row>
    <row r="180" spans="1:12">
      <c r="A180" s="7">
        <v>43852</v>
      </c>
      <c r="B180" s="7">
        <v>43872</v>
      </c>
      <c r="C180" s="8" t="s">
        <v>70</v>
      </c>
      <c r="D180" s="8">
        <v>1501438</v>
      </c>
      <c r="E180" s="8"/>
      <c r="F180" s="8"/>
      <c r="G180" s="8" t="s">
        <v>42</v>
      </c>
      <c r="H180" s="4"/>
      <c r="I180" s="8">
        <v>10549.28</v>
      </c>
      <c r="J180" s="9"/>
      <c r="K180" s="5"/>
      <c r="L180" s="12" t="s">
        <v>15</v>
      </c>
    </row>
    <row r="181" spans="1:12">
      <c r="A181" s="7">
        <v>43852</v>
      </c>
      <c r="B181" s="7">
        <v>43872</v>
      </c>
      <c r="C181" s="8" t="s">
        <v>70</v>
      </c>
      <c r="D181" s="8">
        <v>1501441</v>
      </c>
      <c r="E181" s="8"/>
      <c r="F181" s="8"/>
      <c r="G181" s="8" t="s">
        <v>42</v>
      </c>
      <c r="H181" s="4"/>
      <c r="I181" s="8">
        <v>1033.1300000000001</v>
      </c>
      <c r="J181" s="9"/>
      <c r="K181" s="5"/>
      <c r="L181" s="12" t="s">
        <v>15</v>
      </c>
    </row>
    <row r="182" spans="1:12">
      <c r="A182" s="7">
        <v>43852</v>
      </c>
      <c r="B182" s="7">
        <v>43872</v>
      </c>
      <c r="C182" s="8" t="s">
        <v>70</v>
      </c>
      <c r="D182" s="8">
        <v>1501442</v>
      </c>
      <c r="E182" s="8"/>
      <c r="F182" s="8"/>
      <c r="G182" s="8" t="s">
        <v>42</v>
      </c>
      <c r="H182" s="4"/>
      <c r="I182" s="8">
        <v>1282.5</v>
      </c>
      <c r="J182" s="9"/>
      <c r="K182" s="5"/>
      <c r="L182" s="12" t="s">
        <v>15</v>
      </c>
    </row>
    <row r="183" spans="1:12">
      <c r="A183" s="7">
        <v>43852</v>
      </c>
      <c r="B183" s="7">
        <v>43872</v>
      </c>
      <c r="C183" s="8" t="s">
        <v>70</v>
      </c>
      <c r="D183" s="8">
        <v>1501443</v>
      </c>
      <c r="E183" s="8"/>
      <c r="F183" s="8"/>
      <c r="G183" s="8" t="s">
        <v>42</v>
      </c>
      <c r="H183" s="4"/>
      <c r="I183" s="8">
        <v>1923.75</v>
      </c>
      <c r="J183" s="9"/>
      <c r="K183" s="5"/>
      <c r="L183" s="12" t="s">
        <v>15</v>
      </c>
    </row>
    <row r="184" spans="1:12">
      <c r="A184" s="7">
        <v>43852</v>
      </c>
      <c r="B184" s="7">
        <v>43872</v>
      </c>
      <c r="C184" s="8" t="s">
        <v>70</v>
      </c>
      <c r="D184" s="8">
        <v>1501444</v>
      </c>
      <c r="E184" s="8"/>
      <c r="F184" s="8"/>
      <c r="G184" s="8" t="s">
        <v>42</v>
      </c>
      <c r="H184" s="4"/>
      <c r="I184" s="8">
        <v>3021</v>
      </c>
      <c r="J184" s="9"/>
      <c r="K184" s="5"/>
      <c r="L184" s="12" t="s">
        <v>15</v>
      </c>
    </row>
    <row r="185" spans="1:12">
      <c r="A185" s="7">
        <v>43852</v>
      </c>
      <c r="B185" s="7">
        <v>43872</v>
      </c>
      <c r="C185" s="8" t="s">
        <v>70</v>
      </c>
      <c r="D185" s="8">
        <v>1501445</v>
      </c>
      <c r="E185" s="8"/>
      <c r="F185" s="8"/>
      <c r="G185" s="8" t="s">
        <v>42</v>
      </c>
      <c r="H185" s="4"/>
      <c r="I185" s="8">
        <v>3099.38</v>
      </c>
      <c r="J185" s="9"/>
      <c r="K185" s="5"/>
      <c r="L185" s="12" t="s">
        <v>15</v>
      </c>
    </row>
    <row r="186" spans="1:12">
      <c r="A186" s="7">
        <v>43852</v>
      </c>
      <c r="B186" s="7">
        <v>43872</v>
      </c>
      <c r="C186" s="8" t="s">
        <v>70</v>
      </c>
      <c r="D186" s="8">
        <v>1501446</v>
      </c>
      <c r="E186" s="8"/>
      <c r="F186" s="8"/>
      <c r="G186" s="8" t="s">
        <v>42</v>
      </c>
      <c r="H186" s="4"/>
      <c r="I186" s="8">
        <v>3420</v>
      </c>
      <c r="J186" s="9"/>
      <c r="K186" s="5"/>
      <c r="L186" s="12" t="s">
        <v>15</v>
      </c>
    </row>
    <row r="187" spans="1:12">
      <c r="A187" s="7">
        <v>43852</v>
      </c>
      <c r="B187" s="7">
        <v>43872</v>
      </c>
      <c r="C187" s="8" t="s">
        <v>70</v>
      </c>
      <c r="D187" s="8">
        <v>1501903</v>
      </c>
      <c r="E187" s="8"/>
      <c r="F187" s="8"/>
      <c r="G187" s="8" t="s">
        <v>42</v>
      </c>
      <c r="H187" s="4"/>
      <c r="I187" s="8">
        <v>1995</v>
      </c>
      <c r="J187" s="9"/>
      <c r="K187" s="5"/>
      <c r="L187" s="12" t="s">
        <v>15</v>
      </c>
    </row>
    <row r="188" spans="1:12">
      <c r="A188" s="7">
        <v>43840</v>
      </c>
      <c r="B188" s="7">
        <v>43870</v>
      </c>
      <c r="C188" s="8" t="s">
        <v>59</v>
      </c>
      <c r="D188" s="8">
        <v>141914</v>
      </c>
      <c r="E188" s="8"/>
      <c r="F188" s="8"/>
      <c r="G188" s="8" t="s">
        <v>14</v>
      </c>
      <c r="H188" s="4"/>
      <c r="I188" s="8">
        <v>279300</v>
      </c>
      <c r="J188" s="9"/>
      <c r="K188" s="5"/>
      <c r="L188" s="12" t="s">
        <v>15</v>
      </c>
    </row>
    <row r="189" spans="1:12">
      <c r="A189" s="7">
        <v>43854</v>
      </c>
      <c r="B189" s="7">
        <v>43874</v>
      </c>
      <c r="C189" s="8" t="s">
        <v>70</v>
      </c>
      <c r="D189" s="8">
        <v>1502309</v>
      </c>
      <c r="E189" s="8"/>
      <c r="F189" s="8"/>
      <c r="G189" s="8" t="s">
        <v>14</v>
      </c>
      <c r="H189" s="4"/>
      <c r="I189" s="8">
        <v>1563.23</v>
      </c>
      <c r="J189" s="9"/>
      <c r="K189" s="5"/>
      <c r="L189" s="12" t="s">
        <v>15</v>
      </c>
    </row>
    <row r="190" spans="1:12">
      <c r="A190" s="7">
        <v>43854</v>
      </c>
      <c r="B190" s="7">
        <v>43874</v>
      </c>
      <c r="C190" s="8" t="s">
        <v>70</v>
      </c>
      <c r="D190" s="8">
        <v>1502310</v>
      </c>
      <c r="E190" s="8"/>
      <c r="F190" s="8"/>
      <c r="G190" s="8" t="s">
        <v>133</v>
      </c>
      <c r="H190" s="4"/>
      <c r="I190" s="8">
        <v>4488.75</v>
      </c>
      <c r="J190" s="9"/>
      <c r="K190" s="5"/>
      <c r="L190" s="12" t="s">
        <v>15</v>
      </c>
    </row>
    <row r="191" spans="1:12">
      <c r="A191" s="7">
        <v>43854</v>
      </c>
      <c r="B191" s="7">
        <v>43874</v>
      </c>
      <c r="C191" s="8" t="s">
        <v>70</v>
      </c>
      <c r="D191" s="8">
        <v>1502270</v>
      </c>
      <c r="E191" s="8"/>
      <c r="F191" s="8"/>
      <c r="G191" s="8" t="s">
        <v>42</v>
      </c>
      <c r="H191" s="4"/>
      <c r="I191" s="8">
        <v>2565</v>
      </c>
      <c r="J191" s="9"/>
      <c r="K191" s="5"/>
      <c r="L191" s="12" t="s">
        <v>15</v>
      </c>
    </row>
    <row r="192" spans="1:12">
      <c r="A192" s="7">
        <v>43854</v>
      </c>
      <c r="B192" s="7">
        <v>43874</v>
      </c>
      <c r="C192" s="8" t="s">
        <v>70</v>
      </c>
      <c r="D192" s="8">
        <v>1502194</v>
      </c>
      <c r="E192" s="8"/>
      <c r="F192" s="8"/>
      <c r="G192" s="8" t="s">
        <v>42</v>
      </c>
      <c r="H192" s="4"/>
      <c r="I192" s="8">
        <v>1282.5</v>
      </c>
      <c r="J192" s="9"/>
      <c r="K192" s="5"/>
      <c r="L192" s="12" t="s">
        <v>15</v>
      </c>
    </row>
    <row r="193" spans="1:12">
      <c r="A193" s="7">
        <v>43854</v>
      </c>
      <c r="B193" s="7">
        <v>43874</v>
      </c>
      <c r="C193" s="8" t="s">
        <v>70</v>
      </c>
      <c r="D193" s="8">
        <v>1502193</v>
      </c>
      <c r="E193" s="8"/>
      <c r="F193" s="8"/>
      <c r="G193" s="8" t="s">
        <v>42</v>
      </c>
      <c r="H193" s="4"/>
      <c r="I193" s="8">
        <v>1033.1300000000001</v>
      </c>
      <c r="J193" s="9"/>
      <c r="K193" s="5"/>
      <c r="L193" s="12" t="s">
        <v>15</v>
      </c>
    </row>
    <row r="194" spans="1:12">
      <c r="A194" s="7">
        <v>43853</v>
      </c>
      <c r="B194" s="7">
        <v>43860</v>
      </c>
      <c r="C194" s="8" t="s">
        <v>33</v>
      </c>
      <c r="D194" s="8">
        <v>56806357</v>
      </c>
      <c r="E194" s="8"/>
      <c r="F194" s="8"/>
      <c r="G194" s="8" t="s">
        <v>42</v>
      </c>
      <c r="H194" s="4"/>
      <c r="I194" s="8">
        <v>379.41</v>
      </c>
      <c r="J194" s="9"/>
      <c r="K194" s="5"/>
      <c r="L194" s="12" t="s">
        <v>15</v>
      </c>
    </row>
    <row r="195" spans="1:12">
      <c r="A195" s="13">
        <v>43854</v>
      </c>
      <c r="B195" s="13">
        <v>43874</v>
      </c>
      <c r="C195" s="14" t="s">
        <v>70</v>
      </c>
      <c r="D195" s="14">
        <v>1502428</v>
      </c>
      <c r="E195" s="24"/>
      <c r="F195" s="14"/>
      <c r="G195" s="14" t="s">
        <v>42</v>
      </c>
      <c r="H195" s="15"/>
      <c r="I195" s="14">
        <v>-71.25</v>
      </c>
      <c r="J195" s="16"/>
      <c r="K195" s="17"/>
      <c r="L195" s="18" t="s">
        <v>67</v>
      </c>
    </row>
    <row r="196" spans="1:12">
      <c r="A196" s="7">
        <v>43854</v>
      </c>
      <c r="B196" s="7">
        <v>43861</v>
      </c>
      <c r="C196" s="8" t="s">
        <v>33</v>
      </c>
      <c r="D196" s="8">
        <v>56807207</v>
      </c>
      <c r="E196" s="8"/>
      <c r="F196" s="8"/>
      <c r="G196" s="8" t="s">
        <v>42</v>
      </c>
      <c r="H196" s="4"/>
      <c r="I196" s="8">
        <v>155.35</v>
      </c>
      <c r="J196" s="9"/>
      <c r="K196" s="5"/>
      <c r="L196" s="12" t="s">
        <v>135</v>
      </c>
    </row>
    <row r="197" spans="1:12">
      <c r="A197" s="7">
        <v>43857</v>
      </c>
      <c r="B197" s="7">
        <v>43877</v>
      </c>
      <c r="C197" s="8" t="s">
        <v>70</v>
      </c>
      <c r="D197" s="8">
        <v>1502559</v>
      </c>
      <c r="E197" s="11"/>
      <c r="F197" s="8"/>
      <c r="G197" s="8" t="s">
        <v>133</v>
      </c>
      <c r="H197" s="4"/>
      <c r="I197" s="8">
        <v>1282.5</v>
      </c>
      <c r="J197" s="9"/>
      <c r="K197" s="5"/>
      <c r="L197" s="12" t="s">
        <v>135</v>
      </c>
    </row>
    <row r="198" spans="1:12">
      <c r="A198" s="7">
        <v>44192</v>
      </c>
      <c r="B198" s="7">
        <v>43845</v>
      </c>
      <c r="C198" s="8" t="s">
        <v>59</v>
      </c>
      <c r="D198" s="8">
        <v>1240916</v>
      </c>
      <c r="E198" s="8"/>
      <c r="F198" s="8"/>
      <c r="G198" s="8" t="s">
        <v>14</v>
      </c>
      <c r="H198" s="4"/>
      <c r="I198" s="8">
        <v>13750</v>
      </c>
      <c r="J198" s="9"/>
      <c r="K198" s="5"/>
      <c r="L198" s="12" t="s">
        <v>15</v>
      </c>
    </row>
    <row r="199" spans="1:12">
      <c r="A199" s="7">
        <v>43834</v>
      </c>
      <c r="B199" s="7">
        <v>43864</v>
      </c>
      <c r="C199" s="8" t="s">
        <v>59</v>
      </c>
      <c r="D199" s="10" t="s">
        <v>136</v>
      </c>
      <c r="E199" s="8"/>
      <c r="F199" s="8"/>
      <c r="G199" s="8" t="s">
        <v>9</v>
      </c>
      <c r="H199" s="4"/>
      <c r="I199" s="8">
        <v>2343.64</v>
      </c>
      <c r="J199" s="9"/>
      <c r="K199" s="5"/>
      <c r="L199" s="12" t="s">
        <v>15</v>
      </c>
    </row>
    <row r="200" spans="1:12">
      <c r="A200" s="7">
        <v>43838</v>
      </c>
      <c r="B200" s="7">
        <v>43889</v>
      </c>
      <c r="C200" s="8" t="s">
        <v>59</v>
      </c>
      <c r="D200" s="8">
        <v>85</v>
      </c>
      <c r="E200" s="11"/>
      <c r="F200" s="8"/>
      <c r="G200" s="8" t="s">
        <v>9</v>
      </c>
      <c r="H200" s="4"/>
      <c r="I200" s="8">
        <v>314.75</v>
      </c>
      <c r="J200" s="9"/>
      <c r="K200" s="5"/>
      <c r="L200" s="12" t="s">
        <v>15</v>
      </c>
    </row>
    <row r="201" spans="1:12">
      <c r="A201" s="7">
        <v>43857</v>
      </c>
      <c r="B201" s="8" t="s">
        <v>137</v>
      </c>
      <c r="C201" s="8" t="s">
        <v>59</v>
      </c>
      <c r="D201" s="8">
        <v>1075678</v>
      </c>
      <c r="E201" s="8"/>
      <c r="F201" s="8"/>
      <c r="G201" s="8" t="s">
        <v>9</v>
      </c>
      <c r="H201" s="4"/>
      <c r="I201" s="8">
        <v>18125</v>
      </c>
      <c r="J201" s="9"/>
      <c r="K201" s="5"/>
      <c r="L201" s="12" t="s">
        <v>15</v>
      </c>
    </row>
    <row r="202" spans="1:12">
      <c r="A202" s="7">
        <v>43858</v>
      </c>
      <c r="B202" s="7">
        <v>43891</v>
      </c>
      <c r="C202" s="8" t="s">
        <v>12</v>
      </c>
      <c r="D202" s="10" t="s">
        <v>138</v>
      </c>
      <c r="E202" s="8"/>
      <c r="F202" s="8"/>
      <c r="G202" s="8" t="s">
        <v>42</v>
      </c>
      <c r="H202" s="4"/>
      <c r="I202" s="8">
        <v>562.5</v>
      </c>
      <c r="J202" s="9"/>
      <c r="K202" s="5"/>
      <c r="L202" s="12" t="s">
        <v>15</v>
      </c>
    </row>
    <row r="203" spans="1:12">
      <c r="A203" s="21">
        <v>43854</v>
      </c>
      <c r="B203" s="21">
        <v>43871</v>
      </c>
      <c r="C203" s="8" t="s">
        <v>59</v>
      </c>
      <c r="D203" s="9">
        <v>1115232</v>
      </c>
      <c r="E203" s="9"/>
      <c r="F203" s="9"/>
      <c r="G203" s="9" t="s">
        <v>9</v>
      </c>
      <c r="H203" s="4"/>
      <c r="I203" s="9"/>
      <c r="J203" s="9"/>
      <c r="K203" s="5"/>
      <c r="L203" s="6"/>
    </row>
    <row r="204" spans="1:12">
      <c r="A204" s="7">
        <v>43859</v>
      </c>
      <c r="B204" s="7">
        <v>43889</v>
      </c>
      <c r="C204" s="8" t="s">
        <v>54</v>
      </c>
      <c r="D204" s="8" t="s">
        <v>139</v>
      </c>
      <c r="E204" s="8"/>
      <c r="F204" s="11"/>
      <c r="G204" s="8" t="s">
        <v>42</v>
      </c>
      <c r="H204" s="4"/>
      <c r="I204" s="9"/>
      <c r="J204" s="8">
        <v>1250</v>
      </c>
      <c r="K204" s="5"/>
      <c r="L204" s="12" t="s">
        <v>15</v>
      </c>
    </row>
    <row r="205" spans="1:12">
      <c r="A205" s="7">
        <v>43859</v>
      </c>
      <c r="B205" s="7">
        <v>43879</v>
      </c>
      <c r="C205" s="8" t="s">
        <v>70</v>
      </c>
      <c r="D205" s="8">
        <v>1503661</v>
      </c>
      <c r="E205" s="8"/>
      <c r="F205" s="8"/>
      <c r="G205" s="8" t="s">
        <v>42</v>
      </c>
      <c r="H205" s="4"/>
      <c r="I205" s="8">
        <v>712.5</v>
      </c>
      <c r="J205" s="9"/>
      <c r="K205" s="5"/>
      <c r="L205" s="12" t="s">
        <v>15</v>
      </c>
    </row>
    <row r="206" spans="1:12">
      <c r="A206" s="7">
        <v>43859</v>
      </c>
      <c r="B206" s="7">
        <v>43879</v>
      </c>
      <c r="C206" s="8" t="s">
        <v>70</v>
      </c>
      <c r="D206" s="8">
        <v>1503662</v>
      </c>
      <c r="E206" s="8"/>
      <c r="F206" s="8"/>
      <c r="G206" s="8" t="s">
        <v>42</v>
      </c>
      <c r="H206" s="4"/>
      <c r="I206" s="8">
        <v>712.5</v>
      </c>
      <c r="J206" s="9"/>
      <c r="K206" s="5"/>
      <c r="L206" s="12" t="s">
        <v>15</v>
      </c>
    </row>
    <row r="207" spans="1:12">
      <c r="A207" s="9"/>
      <c r="B207" s="9"/>
      <c r="C207" s="9"/>
      <c r="D207" s="9"/>
      <c r="E207" s="9"/>
      <c r="F207" s="9"/>
      <c r="G207" s="9"/>
      <c r="H207" s="4"/>
      <c r="I207" s="9"/>
      <c r="J207" s="9"/>
      <c r="K207" s="5"/>
      <c r="L207" s="6"/>
    </row>
    <row r="208" spans="1:12">
      <c r="A208" s="9"/>
      <c r="B208" s="9"/>
      <c r="C208" s="9"/>
      <c r="D208" s="9"/>
      <c r="E208" s="9"/>
      <c r="F208" s="9"/>
      <c r="G208" s="9"/>
      <c r="H208" s="4"/>
      <c r="I208" s="9"/>
      <c r="J208" s="9"/>
      <c r="K208" s="5"/>
      <c r="L208" s="6"/>
    </row>
    <row r="209" spans="1:12">
      <c r="A209" s="9"/>
      <c r="B209" s="9"/>
      <c r="C209" s="9"/>
      <c r="D209" s="9"/>
      <c r="E209" s="9"/>
      <c r="F209" s="9"/>
      <c r="G209" s="9"/>
      <c r="H209" s="4"/>
      <c r="I209" s="9"/>
      <c r="J209" s="9"/>
      <c r="K209" s="5"/>
      <c r="L209" s="6"/>
    </row>
    <row r="210" spans="1:12">
      <c r="A210" s="9"/>
      <c r="B210" s="9"/>
      <c r="C210" s="9"/>
      <c r="D210" s="9"/>
      <c r="E210" s="9"/>
      <c r="F210" s="9"/>
      <c r="G210" s="9"/>
      <c r="H210" s="4"/>
      <c r="I210" s="9"/>
      <c r="J210" s="9"/>
      <c r="K210" s="5"/>
      <c r="L210" s="6"/>
    </row>
    <row r="211" spans="1:12">
      <c r="A211" s="9"/>
      <c r="B211" s="9"/>
      <c r="C211" s="9"/>
      <c r="D211" s="9"/>
      <c r="E211" s="9"/>
      <c r="F211" s="9"/>
      <c r="G211" s="9"/>
      <c r="H211" s="4"/>
      <c r="I211" s="9"/>
      <c r="J211" s="9"/>
      <c r="K211" s="5"/>
      <c r="L211" s="6"/>
    </row>
    <row r="212" spans="1:12">
      <c r="A212" s="9"/>
      <c r="B212" s="9"/>
      <c r="C212" s="9"/>
      <c r="D212" s="9"/>
      <c r="E212" s="9"/>
      <c r="F212" s="9"/>
      <c r="G212" s="9"/>
      <c r="H212" s="4"/>
      <c r="I212" s="9"/>
      <c r="J212" s="9"/>
      <c r="K212" s="5"/>
      <c r="L212" s="6"/>
    </row>
    <row r="213" spans="1:12">
      <c r="A213" s="9"/>
      <c r="B213" s="9"/>
      <c r="C213" s="9"/>
      <c r="D213" s="9"/>
      <c r="E213" s="9"/>
      <c r="F213" s="9"/>
      <c r="G213" s="9"/>
      <c r="H213" s="4"/>
      <c r="I213" s="9"/>
      <c r="J213" s="9"/>
      <c r="K213" s="5"/>
      <c r="L213" s="6"/>
    </row>
    <row r="214" spans="1:12">
      <c r="A214" s="9"/>
      <c r="B214" s="9"/>
      <c r="C214" s="9"/>
      <c r="D214" s="9"/>
      <c r="E214" s="9"/>
      <c r="F214" s="9"/>
      <c r="G214" s="9"/>
      <c r="H214" s="4"/>
      <c r="I214" s="9"/>
      <c r="J214" s="9"/>
      <c r="K214" s="5"/>
      <c r="L214" s="6"/>
    </row>
    <row r="215" spans="1:12">
      <c r="A215" s="9"/>
      <c r="B215" s="9"/>
      <c r="C215" s="9"/>
      <c r="D215" s="9"/>
      <c r="E215" s="9"/>
      <c r="F215" s="9"/>
      <c r="G215" s="9"/>
      <c r="H215" s="4"/>
      <c r="I215" s="9"/>
      <c r="J215" s="9"/>
      <c r="K215" s="5"/>
      <c r="L215" s="6"/>
    </row>
    <row r="216" spans="1:12">
      <c r="A216" s="9"/>
      <c r="B216" s="9"/>
      <c r="C216" s="9"/>
      <c r="D216" s="9"/>
      <c r="E216" s="9"/>
      <c r="F216" s="9"/>
      <c r="G216" s="9"/>
      <c r="H216" s="4"/>
      <c r="I216" s="9"/>
      <c r="J216" s="9"/>
      <c r="K216" s="5"/>
      <c r="L216" s="6"/>
    </row>
    <row r="217" spans="1:12">
      <c r="A217" s="9"/>
      <c r="B217" s="9"/>
      <c r="C217" s="9"/>
      <c r="D217" s="9"/>
      <c r="E217" s="9"/>
      <c r="F217" s="9"/>
      <c r="G217" s="9"/>
      <c r="H217" s="4"/>
      <c r="I217" s="9"/>
      <c r="J217" s="9"/>
      <c r="K217" s="5"/>
      <c r="L217" s="6"/>
    </row>
    <row r="218" spans="1:12">
      <c r="A218" s="9"/>
      <c r="B218" s="9"/>
      <c r="C218" s="9"/>
      <c r="D218" s="9"/>
      <c r="E218" s="9"/>
      <c r="F218" s="9"/>
      <c r="G218" s="9"/>
      <c r="H218" s="4"/>
      <c r="I218" s="9"/>
      <c r="J218" s="9"/>
      <c r="K218" s="5"/>
      <c r="L218" s="6"/>
    </row>
    <row r="219" spans="1:12">
      <c r="A219" s="9"/>
      <c r="B219" s="9"/>
      <c r="C219" s="9"/>
      <c r="D219" s="9"/>
      <c r="E219" s="9"/>
      <c r="F219" s="9"/>
      <c r="G219" s="9"/>
      <c r="H219" s="4"/>
      <c r="I219" s="9"/>
      <c r="J219" s="9"/>
      <c r="K219" s="5"/>
      <c r="L219" s="6"/>
    </row>
    <row r="220" spans="1:12">
      <c r="A220" s="9"/>
      <c r="B220" s="9"/>
      <c r="C220" s="9"/>
      <c r="D220" s="9"/>
      <c r="E220" s="9"/>
      <c r="F220" s="9"/>
      <c r="G220" s="9"/>
      <c r="H220" s="4"/>
      <c r="I220" s="9"/>
      <c r="J220" s="9"/>
      <c r="K220" s="5"/>
      <c r="L220" s="6"/>
    </row>
    <row r="221" spans="1:12">
      <c r="A221" s="9"/>
      <c r="B221" s="9"/>
      <c r="C221" s="9"/>
      <c r="D221" s="9"/>
      <c r="E221" s="9"/>
      <c r="F221" s="9"/>
      <c r="G221" s="9"/>
      <c r="H221" s="4"/>
      <c r="I221" s="9"/>
      <c r="J221" s="9"/>
      <c r="K221" s="5"/>
      <c r="L221" s="6"/>
    </row>
    <row r="222" spans="1:12">
      <c r="A222" s="9"/>
      <c r="B222" s="9"/>
      <c r="C222" s="9"/>
      <c r="D222" s="9"/>
      <c r="E222" s="9"/>
      <c r="F222" s="9"/>
      <c r="G222" s="9"/>
      <c r="H222" s="4"/>
      <c r="I222" s="9"/>
      <c r="J222" s="9"/>
      <c r="K222" s="5"/>
      <c r="L222" s="6"/>
    </row>
    <row r="223" spans="1:12">
      <c r="A223" s="9"/>
      <c r="B223" s="9"/>
      <c r="C223" s="9"/>
      <c r="D223" s="9"/>
      <c r="E223" s="9"/>
      <c r="F223" s="9"/>
      <c r="G223" s="9"/>
      <c r="H223" s="4"/>
      <c r="I223" s="9"/>
      <c r="J223" s="9"/>
      <c r="K223" s="5"/>
      <c r="L223" s="6"/>
    </row>
    <row r="224" spans="1:12">
      <c r="A224" s="9"/>
      <c r="B224" s="9"/>
      <c r="C224" s="9"/>
      <c r="D224" s="9"/>
      <c r="E224" s="9"/>
      <c r="F224" s="9"/>
      <c r="G224" s="9"/>
      <c r="H224" s="4"/>
      <c r="I224" s="9"/>
      <c r="J224" s="9"/>
      <c r="K224" s="5"/>
      <c r="L224" s="6"/>
    </row>
    <row r="225" spans="1:12">
      <c r="A225" s="9"/>
      <c r="B225" s="9"/>
      <c r="C225" s="9"/>
      <c r="D225" s="9"/>
      <c r="E225" s="9"/>
      <c r="F225" s="9"/>
      <c r="G225" s="9"/>
      <c r="H225" s="4"/>
      <c r="I225" s="9"/>
      <c r="J225" s="9"/>
      <c r="K225" s="5"/>
      <c r="L225" s="6"/>
    </row>
    <row r="226" spans="1:12">
      <c r="A226" s="9"/>
      <c r="B226" s="9"/>
      <c r="C226" s="9"/>
      <c r="D226" s="9"/>
      <c r="E226" s="9"/>
      <c r="F226" s="9"/>
      <c r="G226" s="9"/>
      <c r="H226" s="4"/>
      <c r="I226" s="9"/>
      <c r="J226" s="9"/>
      <c r="K226" s="5"/>
      <c r="L226" s="6"/>
    </row>
    <row r="227" spans="1:12">
      <c r="A227" s="9"/>
      <c r="B227" s="9"/>
      <c r="C227" s="9"/>
      <c r="D227" s="9"/>
      <c r="E227" s="9"/>
      <c r="F227" s="9"/>
      <c r="G227" s="9"/>
      <c r="H227" s="4"/>
      <c r="I227" s="9"/>
      <c r="J227" s="9"/>
      <c r="K227" s="5"/>
      <c r="L227" s="6"/>
    </row>
  </sheetData>
  <autoFilter ref="A1:L206">
    <filterColumn colId="4"/>
  </autoFilter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4"/>
  <dimension ref="A1:A295"/>
  <sheetViews>
    <sheetView workbookViewId="0">
      <selection activeCell="B88" sqref="B88"/>
    </sheetView>
  </sheetViews>
  <sheetFormatPr defaultRowHeight="15"/>
  <cols>
    <col min="1" max="1" width="15.28515625" bestFit="1" customWidth="1"/>
  </cols>
  <sheetData>
    <row r="1" spans="1:1">
      <c r="A1" t="s">
        <v>140</v>
      </c>
    </row>
    <row r="2" spans="1:1">
      <c r="A2" t="s">
        <v>141</v>
      </c>
    </row>
    <row r="3" spans="1:1">
      <c r="A3" t="s">
        <v>142</v>
      </c>
    </row>
    <row r="4" spans="1:1">
      <c r="A4" t="s">
        <v>143</v>
      </c>
    </row>
    <row r="5" spans="1:1">
      <c r="A5" t="s">
        <v>140</v>
      </c>
    </row>
    <row r="6" spans="1:1">
      <c r="A6" t="s">
        <v>144</v>
      </c>
    </row>
    <row r="7" spans="1:1">
      <c r="A7" t="s">
        <v>145</v>
      </c>
    </row>
    <row r="8" spans="1:1">
      <c r="A8" t="s">
        <v>146</v>
      </c>
    </row>
    <row r="9" spans="1:1">
      <c r="A9" t="s">
        <v>147</v>
      </c>
    </row>
    <row r="10" spans="1:1">
      <c r="A10" t="s">
        <v>148</v>
      </c>
    </row>
    <row r="11" spans="1:1">
      <c r="A11" t="s">
        <v>149</v>
      </c>
    </row>
    <row r="12" spans="1:1">
      <c r="A12" t="s">
        <v>150</v>
      </c>
    </row>
    <row r="13" spans="1:1">
      <c r="A13" t="s">
        <v>151</v>
      </c>
    </row>
    <row r="14" spans="1:1">
      <c r="A14" t="s">
        <v>152</v>
      </c>
    </row>
    <row r="15" spans="1:1">
      <c r="A15" t="s">
        <v>153</v>
      </c>
    </row>
    <row r="16" spans="1:1">
      <c r="A16" t="s">
        <v>154</v>
      </c>
    </row>
    <row r="17" spans="1:1">
      <c r="A17" t="s">
        <v>155</v>
      </c>
    </row>
    <row r="18" spans="1:1">
      <c r="A18" t="s">
        <v>156</v>
      </c>
    </row>
    <row r="19" spans="1:1">
      <c r="A19" s="28">
        <v>43981</v>
      </c>
    </row>
    <row r="20" spans="1:1">
      <c r="A20" t="s">
        <v>157</v>
      </c>
    </row>
    <row r="21" spans="1:1">
      <c r="A21" t="s">
        <v>158</v>
      </c>
    </row>
    <row r="22" spans="1:1">
      <c r="A22" t="s">
        <v>159</v>
      </c>
    </row>
    <row r="23" spans="1:1">
      <c r="A23" t="s">
        <v>160</v>
      </c>
    </row>
    <row r="24" spans="1:1">
      <c r="A24" t="s">
        <v>161</v>
      </c>
    </row>
    <row r="25" spans="1:1">
      <c r="A25" t="s">
        <v>162</v>
      </c>
    </row>
    <row r="26" spans="1:1">
      <c r="A26" t="s">
        <v>163</v>
      </c>
    </row>
    <row r="27" spans="1:1">
      <c r="A27" s="29">
        <v>43980.958333333336</v>
      </c>
    </row>
    <row r="28" spans="1:1">
      <c r="A28" t="s">
        <v>157</v>
      </c>
    </row>
    <row r="29" spans="1:1">
      <c r="A29" t="s">
        <v>164</v>
      </c>
    </row>
    <row r="30" spans="1:1">
      <c r="A30" t="s">
        <v>165</v>
      </c>
    </row>
    <row r="31" spans="1:1">
      <c r="A31" t="s">
        <v>160</v>
      </c>
    </row>
    <row r="32" spans="1:1">
      <c r="A32" t="s">
        <v>166</v>
      </c>
    </row>
    <row r="33" spans="1:1">
      <c r="A33" t="s">
        <v>167</v>
      </c>
    </row>
    <row r="34" spans="1:1">
      <c r="A34" t="s">
        <v>168</v>
      </c>
    </row>
    <row r="35" spans="1:1">
      <c r="A35" s="29">
        <v>43983.416666666664</v>
      </c>
    </row>
    <row r="36" spans="1:1">
      <c r="A36" t="s">
        <v>157</v>
      </c>
    </row>
    <row r="37" spans="1:1">
      <c r="A37" t="s">
        <v>335</v>
      </c>
    </row>
    <row r="38" spans="1:1">
      <c r="A38" t="s">
        <v>336</v>
      </c>
    </row>
    <row r="39" spans="1:1">
      <c r="A39" t="s">
        <v>160</v>
      </c>
    </row>
    <row r="40" spans="1:1">
      <c r="A40" t="s">
        <v>337</v>
      </c>
    </row>
    <row r="41" spans="1:1">
      <c r="A41" t="s">
        <v>338</v>
      </c>
    </row>
    <row r="42" spans="1:1">
      <c r="A42" t="s">
        <v>169</v>
      </c>
    </row>
    <row r="43" spans="1:1">
      <c r="A43" t="s">
        <v>170</v>
      </c>
    </row>
    <row r="44" spans="1:1">
      <c r="A44" t="s">
        <v>171</v>
      </c>
    </row>
    <row r="45" spans="1:1">
      <c r="A45" t="s">
        <v>157</v>
      </c>
    </row>
    <row r="46" spans="1:1">
      <c r="A46" t="s">
        <v>339</v>
      </c>
    </row>
    <row r="47" spans="1:1">
      <c r="A47" t="s">
        <v>157</v>
      </c>
    </row>
    <row r="48" spans="1:1">
      <c r="A48" t="s">
        <v>340</v>
      </c>
    </row>
    <row r="49" spans="1:1">
      <c r="A49" t="s">
        <v>160</v>
      </c>
    </row>
    <row r="50" spans="1:1">
      <c r="A50" t="s">
        <v>341</v>
      </c>
    </row>
    <row r="51" spans="1:1">
      <c r="A51" t="s">
        <v>160</v>
      </c>
    </row>
    <row r="52" spans="1:1">
      <c r="A52" t="s">
        <v>342</v>
      </c>
    </row>
    <row r="53" spans="1:1">
      <c r="A53" t="s">
        <v>172</v>
      </c>
    </row>
    <row r="54" spans="1:1">
      <c r="A54" t="s">
        <v>343</v>
      </c>
    </row>
    <row r="55" spans="1:1">
      <c r="A55" t="s">
        <v>157</v>
      </c>
    </row>
    <row r="56" spans="1:1">
      <c r="A56" t="s">
        <v>344</v>
      </c>
    </row>
    <row r="57" spans="1:1">
      <c r="A57" t="s">
        <v>160</v>
      </c>
    </row>
    <row r="58" spans="1:1">
      <c r="A58" t="s">
        <v>345</v>
      </c>
    </row>
    <row r="59" spans="1:1">
      <c r="A59" t="s">
        <v>173</v>
      </c>
    </row>
    <row r="60" spans="1:1">
      <c r="A60" t="s">
        <v>174</v>
      </c>
    </row>
    <row r="61" spans="1:1">
      <c r="A61" t="s">
        <v>175</v>
      </c>
    </row>
    <row r="62" spans="1:1">
      <c r="A62" t="s">
        <v>346</v>
      </c>
    </row>
    <row r="63" spans="1:1">
      <c r="A63" t="s">
        <v>347</v>
      </c>
    </row>
    <row r="64" spans="1:1">
      <c r="A64" t="s">
        <v>176</v>
      </c>
    </row>
    <row r="65" spans="1:1">
      <c r="A65" t="s">
        <v>177</v>
      </c>
    </row>
    <row r="66" spans="1:1">
      <c r="A66" t="s">
        <v>178</v>
      </c>
    </row>
    <row r="67" spans="1:1">
      <c r="A67" t="s">
        <v>179</v>
      </c>
    </row>
    <row r="68" spans="1:1">
      <c r="A68" s="28">
        <v>43983</v>
      </c>
    </row>
    <row r="69" spans="1:1">
      <c r="A69" t="s">
        <v>348</v>
      </c>
    </row>
    <row r="70" spans="1:1">
      <c r="A70" t="s">
        <v>349</v>
      </c>
    </row>
    <row r="71" spans="1:1">
      <c r="A71" s="28">
        <v>43969</v>
      </c>
    </row>
    <row r="72" spans="1:1">
      <c r="A72" t="s">
        <v>180</v>
      </c>
    </row>
    <row r="73" spans="1:1">
      <c r="A73" s="28">
        <v>43979</v>
      </c>
    </row>
    <row r="74" spans="1:1">
      <c r="A74" s="28">
        <v>43971</v>
      </c>
    </row>
    <row r="75" spans="1:1">
      <c r="A75" s="28">
        <v>43957</v>
      </c>
    </row>
    <row r="76" spans="1:1">
      <c r="A76" t="s">
        <v>181</v>
      </c>
    </row>
    <row r="77" spans="1:1">
      <c r="A77" t="s">
        <v>182</v>
      </c>
    </row>
    <row r="78" spans="1:1">
      <c r="A78" t="s">
        <v>183</v>
      </c>
    </row>
    <row r="79" spans="1:1">
      <c r="A79" t="s">
        <v>184</v>
      </c>
    </row>
    <row r="80" spans="1:1">
      <c r="A80" t="s">
        <v>185</v>
      </c>
    </row>
    <row r="81" spans="1:1">
      <c r="A81">
        <v>1</v>
      </c>
    </row>
    <row r="82" spans="1:1">
      <c r="A82" t="s">
        <v>186</v>
      </c>
    </row>
    <row r="83" spans="1:1">
      <c r="A83" t="s">
        <v>187</v>
      </c>
    </row>
    <row r="84" spans="1:1">
      <c r="A84" t="s">
        <v>188</v>
      </c>
    </row>
    <row r="85" spans="1:1">
      <c r="A85">
        <v>1</v>
      </c>
    </row>
    <row r="86" spans="1:1">
      <c r="A86" t="s">
        <v>186</v>
      </c>
    </row>
    <row r="87" spans="1:1">
      <c r="A87" t="s">
        <v>187</v>
      </c>
    </row>
    <row r="88" spans="1:1">
      <c r="A88" t="s">
        <v>188</v>
      </c>
    </row>
    <row r="89" spans="1:1">
      <c r="A89">
        <v>1</v>
      </c>
    </row>
    <row r="90" spans="1:1">
      <c r="A90" t="s">
        <v>188</v>
      </c>
    </row>
    <row r="91" spans="1:1">
      <c r="A91" s="30">
        <v>967711</v>
      </c>
    </row>
    <row r="92" spans="1:1">
      <c r="A92" t="s">
        <v>186</v>
      </c>
    </row>
    <row r="93" spans="1:1">
      <c r="A93" t="s">
        <v>189</v>
      </c>
    </row>
    <row r="94" spans="1:1">
      <c r="A94" t="s">
        <v>190</v>
      </c>
    </row>
    <row r="95" spans="1:1">
      <c r="A95" t="s">
        <v>191</v>
      </c>
    </row>
    <row r="96" spans="1:1">
      <c r="A96" t="s">
        <v>192</v>
      </c>
    </row>
    <row r="97" spans="1:1">
      <c r="A97" t="s">
        <v>193</v>
      </c>
    </row>
    <row r="98" spans="1:1">
      <c r="A98" t="s">
        <v>194</v>
      </c>
    </row>
    <row r="99" spans="1:1">
      <c r="A99" t="s">
        <v>195</v>
      </c>
    </row>
    <row r="100" spans="1:1">
      <c r="A100" s="28">
        <v>43981</v>
      </c>
    </row>
    <row r="101" spans="1:1">
      <c r="A101" t="s">
        <v>187</v>
      </c>
    </row>
    <row r="102" spans="1:1">
      <c r="A102" t="s">
        <v>187</v>
      </c>
    </row>
    <row r="103" spans="1:1">
      <c r="A103" t="s">
        <v>196</v>
      </c>
    </row>
    <row r="104" spans="1:1">
      <c r="A104" t="s">
        <v>197</v>
      </c>
    </row>
    <row r="105" spans="1:1">
      <c r="A105" s="28">
        <v>43980</v>
      </c>
    </row>
    <row r="106" spans="1:1">
      <c r="A106" t="s">
        <v>198</v>
      </c>
    </row>
    <row r="107" spans="1:1">
      <c r="A107" t="s">
        <v>198</v>
      </c>
    </row>
    <row r="108" spans="1:1">
      <c r="A108" t="s">
        <v>199</v>
      </c>
    </row>
    <row r="109" spans="1:1">
      <c r="A109" t="s">
        <v>200</v>
      </c>
    </row>
    <row r="110" spans="1:1">
      <c r="A110" s="28">
        <v>43979</v>
      </c>
    </row>
    <row r="111" spans="1:1">
      <c r="A111" t="s">
        <v>187</v>
      </c>
    </row>
    <row r="112" spans="1:1">
      <c r="A112" t="s">
        <v>187</v>
      </c>
    </row>
    <row r="113" spans="1:1">
      <c r="A113" t="s">
        <v>201</v>
      </c>
    </row>
    <row r="114" spans="1:1">
      <c r="A114" t="s">
        <v>202</v>
      </c>
    </row>
    <row r="115" spans="1:1">
      <c r="A115" s="28">
        <v>43978</v>
      </c>
    </row>
    <row r="116" spans="1:1">
      <c r="A116" t="s">
        <v>203</v>
      </c>
    </row>
    <row r="117" spans="1:1">
      <c r="A117" t="s">
        <v>203</v>
      </c>
    </row>
    <row r="118" spans="1:1">
      <c r="A118" t="s">
        <v>204</v>
      </c>
    </row>
    <row r="119" spans="1:1">
      <c r="A119" t="s">
        <v>205</v>
      </c>
    </row>
    <row r="120" spans="1:1">
      <c r="A120" s="28">
        <v>43977</v>
      </c>
    </row>
    <row r="121" spans="1:1">
      <c r="A121" t="s">
        <v>187</v>
      </c>
    </row>
    <row r="122" spans="1:1">
      <c r="A122" t="s">
        <v>187</v>
      </c>
    </row>
    <row r="123" spans="1:1">
      <c r="A123" t="s">
        <v>206</v>
      </c>
    </row>
    <row r="124" spans="1:1">
      <c r="A124" t="s">
        <v>207</v>
      </c>
    </row>
    <row r="125" spans="1:1">
      <c r="A125" t="s">
        <v>208</v>
      </c>
    </row>
    <row r="126" spans="1:1">
      <c r="A126" t="s">
        <v>209</v>
      </c>
    </row>
    <row r="127" spans="1:1">
      <c r="A127" t="s">
        <v>210</v>
      </c>
    </row>
    <row r="128" spans="1:1">
      <c r="A128" t="s">
        <v>187</v>
      </c>
    </row>
    <row r="129" spans="1:1">
      <c r="A129" t="s">
        <v>211</v>
      </c>
    </row>
    <row r="130" spans="1:1">
      <c r="A130" t="s">
        <v>212</v>
      </c>
    </row>
    <row r="131" spans="1:1">
      <c r="A131" t="s">
        <v>213</v>
      </c>
    </row>
    <row r="132" spans="1:1">
      <c r="A132" t="s">
        <v>214</v>
      </c>
    </row>
    <row r="133" spans="1:1">
      <c r="A133" t="s">
        <v>144</v>
      </c>
    </row>
    <row r="134" spans="1:1">
      <c r="A134" t="s">
        <v>141</v>
      </c>
    </row>
    <row r="135" spans="1:1">
      <c r="A135" t="s">
        <v>144</v>
      </c>
    </row>
    <row r="136" spans="1:1">
      <c r="A136" t="s">
        <v>141</v>
      </c>
    </row>
    <row r="137" spans="1:1">
      <c r="A137" t="s">
        <v>144</v>
      </c>
    </row>
    <row r="138" spans="1:1">
      <c r="A138" t="s">
        <v>215</v>
      </c>
    </row>
    <row r="139" spans="1:1">
      <c r="A139" t="s">
        <v>144</v>
      </c>
    </row>
    <row r="140" spans="1:1">
      <c r="A140" t="s">
        <v>216</v>
      </c>
    </row>
    <row r="141" spans="1:1">
      <c r="A141" t="s">
        <v>217</v>
      </c>
    </row>
    <row r="142" spans="1:1">
      <c r="A142" s="31">
        <v>2.0833333333333332E-2</v>
      </c>
    </row>
    <row r="143" spans="1:1">
      <c r="A143" t="s">
        <v>217</v>
      </c>
    </row>
    <row r="144" spans="1:1">
      <c r="A144" t="s">
        <v>218</v>
      </c>
    </row>
    <row r="145" spans="1:1">
      <c r="A145" t="s">
        <v>219</v>
      </c>
    </row>
    <row r="146" spans="1:1">
      <c r="A146" s="31">
        <v>0.12569444444444444</v>
      </c>
    </row>
    <row r="147" spans="1:1">
      <c r="A147" t="s">
        <v>219</v>
      </c>
    </row>
    <row r="148" spans="1:1">
      <c r="A148" t="s">
        <v>220</v>
      </c>
    </row>
    <row r="149" spans="1:1">
      <c r="A149" t="s">
        <v>221</v>
      </c>
    </row>
    <row r="150" spans="1:1">
      <c r="A150" s="31">
        <v>1.1805555555555555E-2</v>
      </c>
    </row>
    <row r="151" spans="1:1">
      <c r="A151" t="s">
        <v>221</v>
      </c>
    </row>
    <row r="152" spans="1:1">
      <c r="A152" t="s">
        <v>222</v>
      </c>
    </row>
    <row r="153" spans="1:1">
      <c r="A153" t="s">
        <v>223</v>
      </c>
    </row>
    <row r="154" spans="1:1">
      <c r="A154" s="31">
        <v>4.027777777777778E-2</v>
      </c>
    </row>
    <row r="155" spans="1:1">
      <c r="A155" t="s">
        <v>223</v>
      </c>
    </row>
    <row r="156" spans="1:1">
      <c r="A156" t="s">
        <v>224</v>
      </c>
    </row>
    <row r="157" spans="1:1">
      <c r="A157" t="s">
        <v>225</v>
      </c>
    </row>
    <row r="158" spans="1:1">
      <c r="A158" s="31">
        <v>1.5972222222222224E-2</v>
      </c>
    </row>
    <row r="159" spans="1:1">
      <c r="A159" t="s">
        <v>225</v>
      </c>
    </row>
    <row r="160" spans="1:1">
      <c r="A160" t="s">
        <v>226</v>
      </c>
    </row>
    <row r="161" spans="1:1">
      <c r="A161" t="s">
        <v>227</v>
      </c>
    </row>
    <row r="162" spans="1:1">
      <c r="A162" s="31">
        <v>7.7083333333333337E-2</v>
      </c>
    </row>
    <row r="163" spans="1:1">
      <c r="A163" t="s">
        <v>227</v>
      </c>
    </row>
    <row r="164" spans="1:1">
      <c r="A164" t="s">
        <v>228</v>
      </c>
    </row>
    <row r="165" spans="1:1">
      <c r="A165" t="s">
        <v>229</v>
      </c>
    </row>
    <row r="166" spans="1:1">
      <c r="A166" s="31">
        <v>7.7083333333333337E-2</v>
      </c>
    </row>
    <row r="167" spans="1:1">
      <c r="A167" t="s">
        <v>229</v>
      </c>
    </row>
    <row r="168" spans="1:1">
      <c r="A168" t="s">
        <v>230</v>
      </c>
    </row>
    <row r="169" spans="1:1">
      <c r="A169" t="s">
        <v>231</v>
      </c>
    </row>
    <row r="170" spans="1:1">
      <c r="A170" s="31">
        <v>0.12222222222222223</v>
      </c>
    </row>
    <row r="171" spans="1:1">
      <c r="A171" t="s">
        <v>231</v>
      </c>
    </row>
    <row r="172" spans="1:1">
      <c r="A172" t="s">
        <v>232</v>
      </c>
    </row>
    <row r="173" spans="1:1">
      <c r="A173" t="s">
        <v>233</v>
      </c>
    </row>
    <row r="174" spans="1:1">
      <c r="A174" s="31">
        <v>0.14027777777777778</v>
      </c>
    </row>
    <row r="175" spans="1:1">
      <c r="A175" t="s">
        <v>233</v>
      </c>
    </row>
    <row r="176" spans="1:1">
      <c r="A176" t="s">
        <v>232</v>
      </c>
    </row>
    <row r="177" spans="1:1">
      <c r="A177" t="s">
        <v>234</v>
      </c>
    </row>
    <row r="178" spans="1:1">
      <c r="A178" s="31">
        <v>0.10555555555555556</v>
      </c>
    </row>
    <row r="179" spans="1:1">
      <c r="A179" t="s">
        <v>234</v>
      </c>
    </row>
    <row r="180" spans="1:1">
      <c r="A180" t="s">
        <v>235</v>
      </c>
    </row>
    <row r="181" spans="1:1">
      <c r="A181" t="s">
        <v>236</v>
      </c>
    </row>
    <row r="182" spans="1:1">
      <c r="A182" t="s">
        <v>237</v>
      </c>
    </row>
    <row r="183" spans="1:1">
      <c r="A183" t="s">
        <v>238</v>
      </c>
    </row>
    <row r="184" spans="1:1">
      <c r="A184" t="s">
        <v>239</v>
      </c>
    </row>
    <row r="185" spans="1:1">
      <c r="A185" t="s">
        <v>240</v>
      </c>
    </row>
    <row r="186" spans="1:1">
      <c r="A186" t="s">
        <v>241</v>
      </c>
    </row>
    <row r="187" spans="1:1">
      <c r="A187" t="s">
        <v>242</v>
      </c>
    </row>
    <row r="188" spans="1:1">
      <c r="A188" t="s">
        <v>243</v>
      </c>
    </row>
    <row r="189" spans="1:1">
      <c r="A189" t="s">
        <v>244</v>
      </c>
    </row>
    <row r="190" spans="1:1">
      <c r="A190" t="s">
        <v>245</v>
      </c>
    </row>
    <row r="191" spans="1:1">
      <c r="A191" t="s">
        <v>246</v>
      </c>
    </row>
    <row r="192" spans="1:1">
      <c r="A192" t="s">
        <v>247</v>
      </c>
    </row>
    <row r="193" spans="1:1">
      <c r="A193" t="s">
        <v>216</v>
      </c>
    </row>
    <row r="194" spans="1:1">
      <c r="A194" t="s">
        <v>248</v>
      </c>
    </row>
    <row r="195" spans="1:1">
      <c r="A195" t="s">
        <v>249</v>
      </c>
    </row>
    <row r="196" spans="1:1">
      <c r="A196" t="s">
        <v>250</v>
      </c>
    </row>
    <row r="197" spans="1:1">
      <c r="A197" t="s">
        <v>251</v>
      </c>
    </row>
    <row r="198" spans="1:1">
      <c r="A198" t="s">
        <v>252</v>
      </c>
    </row>
    <row r="199" spans="1:1">
      <c r="A199" t="s">
        <v>253</v>
      </c>
    </row>
    <row r="200" spans="1:1">
      <c r="A200" t="s">
        <v>254</v>
      </c>
    </row>
    <row r="201" spans="1:1">
      <c r="A201" t="s">
        <v>255</v>
      </c>
    </row>
    <row r="202" spans="1:1">
      <c r="A202" t="s">
        <v>256</v>
      </c>
    </row>
    <row r="203" spans="1:1">
      <c r="A203" t="s">
        <v>257</v>
      </c>
    </row>
    <row r="204" spans="1:1">
      <c r="A204" t="s">
        <v>183</v>
      </c>
    </row>
    <row r="205" spans="1:1">
      <c r="A205" t="s">
        <v>258</v>
      </c>
    </row>
    <row r="206" spans="1:1">
      <c r="A206" t="s">
        <v>259</v>
      </c>
    </row>
    <row r="207" spans="1:1">
      <c r="A207" t="s">
        <v>260</v>
      </c>
    </row>
    <row r="208" spans="1:1">
      <c r="A208" t="s">
        <v>261</v>
      </c>
    </row>
    <row r="209" spans="1:1">
      <c r="A209" t="s">
        <v>262</v>
      </c>
    </row>
    <row r="210" spans="1:1">
      <c r="A210" t="s">
        <v>250</v>
      </c>
    </row>
    <row r="211" spans="1:1">
      <c r="A211" t="s">
        <v>263</v>
      </c>
    </row>
    <row r="212" spans="1:1">
      <c r="A212" t="s">
        <v>264</v>
      </c>
    </row>
    <row r="213" spans="1:1">
      <c r="A213" t="s">
        <v>265</v>
      </c>
    </row>
    <row r="214" spans="1:1">
      <c r="A214" t="s">
        <v>266</v>
      </c>
    </row>
    <row r="215" spans="1:1">
      <c r="A215" t="s">
        <v>267</v>
      </c>
    </row>
    <row r="216" spans="1:1">
      <c r="A216" t="s">
        <v>268</v>
      </c>
    </row>
    <row r="217" spans="1:1">
      <c r="A217" t="s">
        <v>269</v>
      </c>
    </row>
    <row r="218" spans="1:1">
      <c r="A218" t="s">
        <v>270</v>
      </c>
    </row>
    <row r="219" spans="1:1">
      <c r="A219" t="s">
        <v>271</v>
      </c>
    </row>
    <row r="220" spans="1:1">
      <c r="A220" t="s">
        <v>272</v>
      </c>
    </row>
    <row r="221" spans="1:1">
      <c r="A221" t="s">
        <v>248</v>
      </c>
    </row>
    <row r="222" spans="1:1">
      <c r="A222" t="s">
        <v>216</v>
      </c>
    </row>
    <row r="223" spans="1:1">
      <c r="A223" t="s">
        <v>250</v>
      </c>
    </row>
    <row r="224" spans="1:1">
      <c r="A224" t="s">
        <v>273</v>
      </c>
    </row>
    <row r="225" spans="1:1">
      <c r="A225" t="s">
        <v>274</v>
      </c>
    </row>
    <row r="226" spans="1:1">
      <c r="A226" t="s">
        <v>275</v>
      </c>
    </row>
    <row r="227" spans="1:1">
      <c r="A227" t="s">
        <v>276</v>
      </c>
    </row>
    <row r="228" spans="1:1">
      <c r="A228" t="s">
        <v>277</v>
      </c>
    </row>
    <row r="229" spans="1:1">
      <c r="A229" t="s">
        <v>216</v>
      </c>
    </row>
    <row r="230" spans="1:1">
      <c r="A230" t="s">
        <v>248</v>
      </c>
    </row>
    <row r="231" spans="1:1">
      <c r="A231" t="s">
        <v>249</v>
      </c>
    </row>
    <row r="232" spans="1:1">
      <c r="A232" t="s">
        <v>250</v>
      </c>
    </row>
    <row r="233" spans="1:1">
      <c r="A233" t="s">
        <v>278</v>
      </c>
    </row>
    <row r="234" spans="1:1">
      <c r="A234" t="s">
        <v>279</v>
      </c>
    </row>
    <row r="235" spans="1:1">
      <c r="A235" t="s">
        <v>280</v>
      </c>
    </row>
    <row r="236" spans="1:1">
      <c r="A236" t="s">
        <v>281</v>
      </c>
    </row>
    <row r="237" spans="1:1">
      <c r="A237" t="s">
        <v>282</v>
      </c>
    </row>
    <row r="238" spans="1:1">
      <c r="A238" t="s">
        <v>283</v>
      </c>
    </row>
    <row r="239" spans="1:1">
      <c r="A239" t="s">
        <v>284</v>
      </c>
    </row>
    <row r="240" spans="1:1">
      <c r="A240" t="s">
        <v>285</v>
      </c>
    </row>
    <row r="241" spans="1:1">
      <c r="A241" t="s">
        <v>286</v>
      </c>
    </row>
    <row r="242" spans="1:1">
      <c r="A242" t="s">
        <v>287</v>
      </c>
    </row>
    <row r="243" spans="1:1">
      <c r="A243" t="s">
        <v>288</v>
      </c>
    </row>
    <row r="244" spans="1:1">
      <c r="A244" t="s">
        <v>289</v>
      </c>
    </row>
    <row r="245" spans="1:1">
      <c r="A245" t="s">
        <v>290</v>
      </c>
    </row>
    <row r="246" spans="1:1">
      <c r="A246" t="s">
        <v>291</v>
      </c>
    </row>
    <row r="247" spans="1:1">
      <c r="A247" t="s">
        <v>250</v>
      </c>
    </row>
    <row r="248" spans="1:1">
      <c r="A248" t="s">
        <v>292</v>
      </c>
    </row>
    <row r="249" spans="1:1">
      <c r="A249" t="s">
        <v>293</v>
      </c>
    </row>
    <row r="250" spans="1:1">
      <c r="A250" t="s">
        <v>294</v>
      </c>
    </row>
    <row r="251" spans="1:1">
      <c r="A251" t="s">
        <v>295</v>
      </c>
    </row>
    <row r="252" spans="1:1">
      <c r="A252" t="s">
        <v>296</v>
      </c>
    </row>
    <row r="253" spans="1:1">
      <c r="A253" t="s">
        <v>297</v>
      </c>
    </row>
    <row r="254" spans="1:1">
      <c r="A254" t="s">
        <v>298</v>
      </c>
    </row>
    <row r="255" spans="1:1">
      <c r="A255" t="s">
        <v>250</v>
      </c>
    </row>
    <row r="256" spans="1:1">
      <c r="A256" t="s">
        <v>299</v>
      </c>
    </row>
    <row r="257" spans="1:1">
      <c r="A257" t="s">
        <v>300</v>
      </c>
    </row>
    <row r="258" spans="1:1">
      <c r="A258" t="s">
        <v>301</v>
      </c>
    </row>
    <row r="259" spans="1:1">
      <c r="A259" t="s">
        <v>302</v>
      </c>
    </row>
    <row r="260" spans="1:1">
      <c r="A260" t="s">
        <v>303</v>
      </c>
    </row>
    <row r="261" spans="1:1">
      <c r="A261" t="s">
        <v>304</v>
      </c>
    </row>
    <row r="262" spans="1:1">
      <c r="A262" t="s">
        <v>250</v>
      </c>
    </row>
    <row r="263" spans="1:1">
      <c r="A263" t="s">
        <v>305</v>
      </c>
    </row>
    <row r="264" spans="1:1">
      <c r="A264" t="s">
        <v>306</v>
      </c>
    </row>
    <row r="265" spans="1:1">
      <c r="A265" t="s">
        <v>307</v>
      </c>
    </row>
    <row r="266" spans="1:1">
      <c r="A266" t="s">
        <v>308</v>
      </c>
    </row>
    <row r="267" spans="1:1">
      <c r="A267" t="s">
        <v>309</v>
      </c>
    </row>
    <row r="268" spans="1:1">
      <c r="A268" t="s">
        <v>310</v>
      </c>
    </row>
    <row r="269" spans="1:1">
      <c r="A269" t="s">
        <v>250</v>
      </c>
    </row>
    <row r="270" spans="1:1">
      <c r="A270" t="s">
        <v>311</v>
      </c>
    </row>
    <row r="271" spans="1:1">
      <c r="A271" t="s">
        <v>312</v>
      </c>
    </row>
    <row r="272" spans="1:1">
      <c r="A272" t="s">
        <v>313</v>
      </c>
    </row>
    <row r="273" spans="1:1">
      <c r="A273" t="s">
        <v>314</v>
      </c>
    </row>
    <row r="274" spans="1:1">
      <c r="A274" t="s">
        <v>315</v>
      </c>
    </row>
    <row r="275" spans="1:1">
      <c r="A275" t="s">
        <v>316</v>
      </c>
    </row>
    <row r="276" spans="1:1">
      <c r="A276" t="s">
        <v>216</v>
      </c>
    </row>
    <row r="277" spans="1:1">
      <c r="A277" t="s">
        <v>247</v>
      </c>
    </row>
    <row r="278" spans="1:1">
      <c r="A278" t="s">
        <v>250</v>
      </c>
    </row>
    <row r="279" spans="1:1">
      <c r="A279" t="s">
        <v>317</v>
      </c>
    </row>
    <row r="280" spans="1:1">
      <c r="A280" t="s">
        <v>312</v>
      </c>
    </row>
    <row r="281" spans="1:1">
      <c r="A281" t="s">
        <v>318</v>
      </c>
    </row>
    <row r="282" spans="1:1">
      <c r="A282" t="s">
        <v>319</v>
      </c>
    </row>
    <row r="283" spans="1:1">
      <c r="A283" t="s">
        <v>320</v>
      </c>
    </row>
    <row r="284" spans="1:1">
      <c r="A284" t="s">
        <v>321</v>
      </c>
    </row>
    <row r="285" spans="1:1">
      <c r="A285" t="s">
        <v>322</v>
      </c>
    </row>
    <row r="286" spans="1:1">
      <c r="A286" t="s">
        <v>323</v>
      </c>
    </row>
    <row r="287" spans="1:1">
      <c r="A287" t="s">
        <v>324</v>
      </c>
    </row>
    <row r="288" spans="1:1">
      <c r="A288" t="s">
        <v>325</v>
      </c>
    </row>
    <row r="289" spans="1:1">
      <c r="A289" t="s">
        <v>250</v>
      </c>
    </row>
    <row r="290" spans="1:1">
      <c r="A290" t="s">
        <v>154</v>
      </c>
    </row>
    <row r="291" spans="1:1">
      <c r="A291" t="s">
        <v>326</v>
      </c>
    </row>
    <row r="292" spans="1:1">
      <c r="A292" t="s">
        <v>327</v>
      </c>
    </row>
    <row r="293" spans="1:1">
      <c r="A293" t="s">
        <v>328</v>
      </c>
    </row>
    <row r="294" spans="1:1">
      <c r="A294" t="s">
        <v>329</v>
      </c>
    </row>
    <row r="295" spans="1:1">
      <c r="A295" t="s">
        <v>330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5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2</vt:i4>
      </vt:variant>
    </vt:vector>
  </HeadingPairs>
  <TitlesOfParts>
    <vt:vector size="8" baseType="lpstr">
      <vt:lpstr>IRT</vt:lpstr>
      <vt:lpstr>report</vt:lpstr>
      <vt:lpstr>headlist</vt:lpstr>
      <vt:lpstr>data</vt:lpstr>
      <vt:lpstr>DKK</vt:lpstr>
      <vt:lpstr>Лист1</vt:lpstr>
      <vt:lpstr>DKK!_1_DKK_EUR_1</vt:lpstr>
      <vt:lpstr>DKK!_1_DKK_EUR_2</vt:lpstr>
    </vt:vector>
  </TitlesOfParts>
  <Company>Россельхозбанк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Игорь</dc:creator>
  <cp:lastModifiedBy>Игорь</cp:lastModifiedBy>
  <dcterms:created xsi:type="dcterms:W3CDTF">2019-03-29T09:55:24Z</dcterms:created>
  <dcterms:modified xsi:type="dcterms:W3CDTF">2020-07-10T08:47:51Z</dcterms:modified>
</cp:coreProperties>
</file>